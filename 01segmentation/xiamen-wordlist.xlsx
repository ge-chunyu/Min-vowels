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unyu/Desktop/min-vowel/"/>
    </mc:Choice>
  </mc:AlternateContent>
  <xr:revisionPtr revIDLastSave="0" documentId="13_ncr:1_{BD06C70A-CC70-CF49-B82C-30ABCF06CBCE}" xr6:coauthVersionLast="47" xr6:coauthVersionMax="47" xr10:uidLastSave="{00000000-0000-0000-0000-000000000000}"/>
  <bookViews>
    <workbookView xWindow="0" yWindow="700" windowWidth="10000" windowHeight="16860" firstSheet="1" activeTab="4" xr2:uid="{9B2C6749-F850-644D-9259-681A4EC6E976}"/>
  </bookViews>
  <sheets>
    <sheet name="xiamen-wordlist" sheetId="1" r:id="rId1"/>
    <sheet name="vowel" sheetId="2" r:id="rId2"/>
    <sheet name="Sheet2" sheetId="3" r:id="rId3"/>
    <sheet name="speakers" sheetId="4" r:id="rId4"/>
    <sheet name="cn-wordlist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8" i="5" l="1"/>
  <c r="D3" i="5"/>
  <c r="D4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D27" i="5"/>
  <c r="D28" i="5"/>
  <c r="D29" i="5"/>
  <c r="D30" i="5"/>
  <c r="D31" i="5"/>
  <c r="D32" i="5"/>
  <c r="D33" i="5"/>
  <c r="D34" i="5"/>
  <c r="D35" i="5"/>
  <c r="D36" i="5"/>
  <c r="D37" i="5"/>
  <c r="D38" i="5"/>
  <c r="D39" i="5"/>
  <c r="D40" i="5"/>
  <c r="D41" i="5"/>
  <c r="D42" i="5"/>
  <c r="D43" i="5"/>
  <c r="D44" i="5"/>
  <c r="D45" i="5"/>
  <c r="D46" i="5"/>
  <c r="D47" i="5"/>
  <c r="D48" i="5"/>
  <c r="D49" i="5"/>
  <c r="D50" i="5"/>
  <c r="D51" i="5"/>
  <c r="D52" i="5"/>
  <c r="D53" i="5"/>
  <c r="D54" i="5"/>
  <c r="D55" i="5"/>
  <c r="D56" i="5"/>
  <c r="D57" i="5"/>
  <c r="D59" i="5"/>
  <c r="D60" i="5"/>
  <c r="D61" i="5"/>
  <c r="D62" i="5"/>
  <c r="D63" i="5"/>
  <c r="D64" i="5"/>
  <c r="D65" i="5"/>
  <c r="D66" i="5"/>
  <c r="D67" i="5"/>
  <c r="D68" i="5"/>
  <c r="D69" i="5"/>
  <c r="D70" i="5"/>
  <c r="D71" i="5"/>
  <c r="D72" i="5"/>
  <c r="D73" i="5"/>
  <c r="D74" i="5"/>
  <c r="D75" i="5"/>
  <c r="D76" i="5"/>
  <c r="D77" i="5"/>
  <c r="D78" i="5"/>
  <c r="D79" i="5"/>
  <c r="D80" i="5"/>
  <c r="D81" i="5"/>
  <c r="D82" i="5"/>
  <c r="D83" i="5"/>
  <c r="D84" i="5"/>
  <c r="D85" i="5"/>
  <c r="D86" i="5"/>
  <c r="D87" i="5"/>
  <c r="D2" i="5"/>
  <c r="A2" i="5" a="1"/>
  <c r="A2" i="5" s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2" i="1"/>
  <c r="A2" i="1" a="1"/>
  <c r="A2" i="1" s="1"/>
  <c r="C2" i="1" s="1"/>
  <c r="C138" i="1" l="1"/>
  <c r="C114" i="1"/>
  <c r="C82" i="1"/>
  <c r="C50" i="1"/>
  <c r="C10" i="1"/>
  <c r="C8" i="1"/>
  <c r="C151" i="1"/>
  <c r="C135" i="1"/>
  <c r="C119" i="1"/>
  <c r="C95" i="1"/>
  <c r="C63" i="1"/>
  <c r="C15" i="1"/>
  <c r="C150" i="1"/>
  <c r="C126" i="1"/>
  <c r="C102" i="1"/>
  <c r="C86" i="1"/>
  <c r="C62" i="1"/>
  <c r="C38" i="1"/>
  <c r="C6" i="1"/>
  <c r="C157" i="1"/>
  <c r="C149" i="1"/>
  <c r="C141" i="1"/>
  <c r="C133" i="1"/>
  <c r="C125" i="1"/>
  <c r="C117" i="1"/>
  <c r="C109" i="1"/>
  <c r="C101" i="1"/>
  <c r="C93" i="1"/>
  <c r="C85" i="1"/>
  <c r="C77" i="1"/>
  <c r="C69" i="1"/>
  <c r="C61" i="1"/>
  <c r="C53" i="1"/>
  <c r="C45" i="1"/>
  <c r="C37" i="1"/>
  <c r="C29" i="1"/>
  <c r="C21" i="1"/>
  <c r="C13" i="1"/>
  <c r="C5" i="1"/>
  <c r="C146" i="1"/>
  <c r="C122" i="1"/>
  <c r="C98" i="1"/>
  <c r="C74" i="1"/>
  <c r="C58" i="1"/>
  <c r="C34" i="1"/>
  <c r="C18" i="1"/>
  <c r="C137" i="1"/>
  <c r="C121" i="1"/>
  <c r="C113" i="1"/>
  <c r="C97" i="1"/>
  <c r="C89" i="1"/>
  <c r="C73" i="1"/>
  <c r="C57" i="1"/>
  <c r="C49" i="1"/>
  <c r="C33" i="1"/>
  <c r="C25" i="1"/>
  <c r="C9" i="1"/>
  <c r="C144" i="1"/>
  <c r="C128" i="1"/>
  <c r="C112" i="1"/>
  <c r="C96" i="1"/>
  <c r="C80" i="1"/>
  <c r="C64" i="1"/>
  <c r="C48" i="1"/>
  <c r="C32" i="1"/>
  <c r="C16" i="1"/>
  <c r="C143" i="1"/>
  <c r="C103" i="1"/>
  <c r="C87" i="1"/>
  <c r="C55" i="1"/>
  <c r="C47" i="1"/>
  <c r="C31" i="1"/>
  <c r="C23" i="1"/>
  <c r="C7" i="1"/>
  <c r="C142" i="1"/>
  <c r="C118" i="1"/>
  <c r="C78" i="1"/>
  <c r="C54" i="1"/>
  <c r="C14" i="1"/>
  <c r="C156" i="1"/>
  <c r="C148" i="1"/>
  <c r="C140" i="1"/>
  <c r="C132" i="1"/>
  <c r="C124" i="1"/>
  <c r="C116" i="1"/>
  <c r="C108" i="1"/>
  <c r="C100" i="1"/>
  <c r="C92" i="1"/>
  <c r="C84" i="1"/>
  <c r="C76" i="1"/>
  <c r="C68" i="1"/>
  <c r="C60" i="1"/>
  <c r="C52" i="1"/>
  <c r="C44" i="1"/>
  <c r="C36" i="1"/>
  <c r="C28" i="1"/>
  <c r="C20" i="1"/>
  <c r="C12" i="1"/>
  <c r="C4" i="1"/>
  <c r="C154" i="1"/>
  <c r="C130" i="1"/>
  <c r="C106" i="1"/>
  <c r="C90" i="1"/>
  <c r="C66" i="1"/>
  <c r="C42" i="1"/>
  <c r="C26" i="1"/>
  <c r="C153" i="1"/>
  <c r="C145" i="1"/>
  <c r="C129" i="1"/>
  <c r="C105" i="1"/>
  <c r="C81" i="1"/>
  <c r="C65" i="1"/>
  <c r="C41" i="1"/>
  <c r="C17" i="1"/>
  <c r="C152" i="1"/>
  <c r="C136" i="1"/>
  <c r="C120" i="1"/>
  <c r="C104" i="1"/>
  <c r="C88" i="1"/>
  <c r="C72" i="1"/>
  <c r="C56" i="1"/>
  <c r="C40" i="1"/>
  <c r="C24" i="1"/>
  <c r="C127" i="1"/>
  <c r="C111" i="1"/>
  <c r="C79" i="1"/>
  <c r="C71" i="1"/>
  <c r="C39" i="1"/>
  <c r="C134" i="1"/>
  <c r="C110" i="1"/>
  <c r="C94" i="1"/>
  <c r="C70" i="1"/>
  <c r="C46" i="1"/>
  <c r="C30" i="1"/>
  <c r="C22" i="1"/>
  <c r="C155" i="1"/>
  <c r="C147" i="1"/>
  <c r="C139" i="1"/>
  <c r="C131" i="1"/>
  <c r="C123" i="1"/>
  <c r="C115" i="1"/>
  <c r="C107" i="1"/>
  <c r="C99" i="1"/>
  <c r="C91" i="1"/>
  <c r="C83" i="1"/>
  <c r="C75" i="1"/>
  <c r="C67" i="1"/>
  <c r="C59" i="1"/>
  <c r="C51" i="1"/>
  <c r="C43" i="1"/>
  <c r="C35" i="1"/>
  <c r="C27" i="1"/>
  <c r="C19" i="1"/>
  <c r="C11" i="1"/>
  <c r="C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<sst xmlns="http://schemas.openxmlformats.org/spreadsheetml/2006/main" count="1102" uniqueCount="779">
  <si>
    <t>word</t>
  </si>
  <si>
    <t>transcription</t>
  </si>
  <si>
    <t>悲</t>
  </si>
  <si>
    <t>pi55</t>
  </si>
  <si>
    <t>i55</t>
  </si>
  <si>
    <t>推</t>
  </si>
  <si>
    <t>淤</t>
  </si>
  <si>
    <t>tu55</t>
  </si>
  <si>
    <t>u55</t>
  </si>
  <si>
    <t>巴</t>
  </si>
  <si>
    <t>pa55</t>
  </si>
  <si>
    <t>a55</t>
  </si>
  <si>
    <t>nga?</t>
  </si>
  <si>
    <t>notes</t>
  </si>
  <si>
    <t>爹</t>
  </si>
  <si>
    <t>tia55</t>
  </si>
  <si>
    <t>ia24</t>
  </si>
  <si>
    <t>沙</t>
  </si>
  <si>
    <t>sua55</t>
  </si>
  <si>
    <t>歌</t>
  </si>
  <si>
    <t>kua55</t>
  </si>
  <si>
    <t>蛙</t>
  </si>
  <si>
    <t>ua55</t>
  </si>
  <si>
    <t>晡</t>
  </si>
  <si>
    <t>褒</t>
  </si>
  <si>
    <t>po55</t>
  </si>
  <si>
    <t>number</t>
  </si>
  <si>
    <t>filename</t>
  </si>
  <si>
    <t>上~，下~，</t>
  </si>
  <si>
    <t>黑</t>
  </si>
  <si>
    <t>~白菜；~唠</t>
  </si>
  <si>
    <t>o55</t>
  </si>
  <si>
    <t>飞~</t>
  </si>
  <si>
    <t>pio55</t>
  </si>
  <si>
    <t>腰</t>
  </si>
  <si>
    <t>io55</t>
  </si>
  <si>
    <t>pe55</t>
  </si>
  <si>
    <t>医</t>
  </si>
  <si>
    <t>鸦</t>
  </si>
  <si>
    <t>爷</t>
  </si>
  <si>
    <t>乌</t>
  </si>
  <si>
    <t>唠</t>
  </si>
  <si>
    <t>镖</t>
  </si>
  <si>
    <t>飞</t>
  </si>
  <si>
    <t>锅</t>
  </si>
  <si>
    <t>e55</t>
  </si>
  <si>
    <t>杯</t>
  </si>
  <si>
    <t>pue55</t>
  </si>
  <si>
    <t>~倒：身子紧</t>
  </si>
  <si>
    <t>ue55</t>
  </si>
  <si>
    <t>？</t>
  </si>
  <si>
    <t>彪</t>
  </si>
  <si>
    <t>piu55</t>
  </si>
  <si>
    <t>面~~</t>
  </si>
  <si>
    <t>忧</t>
  </si>
  <si>
    <t>iu55</t>
  </si>
  <si>
    <t>追</t>
  </si>
  <si>
    <t>tui55</t>
  </si>
  <si>
    <t>威</t>
  </si>
  <si>
    <t>ui55</t>
  </si>
  <si>
    <t>呆</t>
  </si>
  <si>
    <t>tai55</t>
  </si>
  <si>
    <t>哀</t>
  </si>
  <si>
    <t>ai55</t>
  </si>
  <si>
    <t>乖</t>
  </si>
  <si>
    <t>kuai55</t>
  </si>
  <si>
    <t>歪</t>
  </si>
  <si>
    <t>uai55</t>
  </si>
  <si>
    <t>包</t>
  </si>
  <si>
    <t>pau55</t>
  </si>
  <si>
    <t>瓯</t>
  </si>
  <si>
    <t>au55</t>
  </si>
  <si>
    <t>标</t>
  </si>
  <si>
    <t>~准</t>
  </si>
  <si>
    <t>piau55</t>
  </si>
  <si>
    <t>妖</t>
  </si>
  <si>
    <t>iau55</t>
  </si>
  <si>
    <t>hm24</t>
  </si>
  <si>
    <t>媒</t>
  </si>
  <si>
    <t>~人</t>
  </si>
  <si>
    <t>梅</t>
  </si>
  <si>
    <t>杨~</t>
  </si>
  <si>
    <t>m24</t>
  </si>
  <si>
    <t>吻</t>
  </si>
  <si>
    <t>tsim55</t>
  </si>
  <si>
    <t>音</t>
  </si>
  <si>
    <t>im55</t>
  </si>
  <si>
    <t>担</t>
  </si>
  <si>
    <t>tam55</t>
  </si>
  <si>
    <t>~当</t>
  </si>
  <si>
    <t>庵</t>
  </si>
  <si>
    <t>am55</t>
  </si>
  <si>
    <t>砧</t>
  </si>
  <si>
    <t>tiam55</t>
  </si>
  <si>
    <t>阉</t>
  </si>
  <si>
    <t>iam55</t>
  </si>
  <si>
    <t>宾</t>
  </si>
  <si>
    <t>pin55</t>
  </si>
  <si>
    <t>因</t>
  </si>
  <si>
    <t>in55</t>
  </si>
  <si>
    <t>分</t>
  </si>
  <si>
    <t>pun55</t>
  </si>
  <si>
    <t>~开</t>
  </si>
  <si>
    <t>~州</t>
  </si>
  <si>
    <t>温</t>
  </si>
  <si>
    <t>un55</t>
  </si>
  <si>
    <t>班</t>
  </si>
  <si>
    <t>pan55</t>
  </si>
  <si>
    <t>安</t>
  </si>
  <si>
    <t>an55</t>
  </si>
  <si>
    <t>鞭</t>
  </si>
  <si>
    <t>pian55</t>
  </si>
  <si>
    <t>烟</t>
  </si>
  <si>
    <t>ian55</t>
  </si>
  <si>
    <t>端</t>
  </si>
  <si>
    <t>tuan55</t>
  </si>
  <si>
    <t>弯</t>
  </si>
  <si>
    <t>uan55</t>
  </si>
  <si>
    <t>方</t>
  </si>
  <si>
    <t>png55</t>
  </si>
  <si>
    <t>姓</t>
  </si>
  <si>
    <t>双手掩盖</t>
  </si>
  <si>
    <t>ng55</t>
  </si>
  <si>
    <t>冰</t>
  </si>
  <si>
    <t>ping55</t>
  </si>
  <si>
    <t>ing55</t>
  </si>
  <si>
    <t>英</t>
  </si>
  <si>
    <t>邦</t>
  </si>
  <si>
    <t>pang55</t>
  </si>
  <si>
    <t>ang55</t>
  </si>
  <si>
    <t>翁</t>
  </si>
  <si>
    <t>老公</t>
  </si>
  <si>
    <t>漳</t>
  </si>
  <si>
    <t>tsiang55</t>
  </si>
  <si>
    <t>央</t>
  </si>
  <si>
    <t>iang55</t>
  </si>
  <si>
    <t>~求</t>
  </si>
  <si>
    <t>东</t>
  </si>
  <si>
    <t>汪</t>
  </si>
  <si>
    <t>忠</t>
  </si>
  <si>
    <t>中~</t>
  </si>
  <si>
    <t>边</t>
  </si>
  <si>
    <t>piN55</t>
  </si>
  <si>
    <t>婴</t>
  </si>
  <si>
    <t>iN55</t>
  </si>
  <si>
    <t>动作</t>
  </si>
  <si>
    <t>taN55</t>
  </si>
  <si>
    <t>馅</t>
  </si>
  <si>
    <t>aN22</t>
  </si>
  <si>
    <t>?</t>
  </si>
  <si>
    <t>用力砸过去</t>
  </si>
  <si>
    <t>piaN55</t>
  </si>
  <si>
    <t>缨</t>
  </si>
  <si>
    <t>iaN55</t>
  </si>
  <si>
    <t>红~</t>
  </si>
  <si>
    <t>搬</t>
  </si>
  <si>
    <t>puaN55</t>
  </si>
  <si>
    <t>uaN55</t>
  </si>
  <si>
    <t>同~</t>
  </si>
  <si>
    <t>妹</t>
  </si>
  <si>
    <t>meN24</t>
  </si>
  <si>
    <t>eN55</t>
  </si>
  <si>
    <t>张</t>
  </si>
  <si>
    <t>tiuN55</t>
  </si>
  <si>
    <t>鸯</t>
  </si>
  <si>
    <t>鸳~</t>
  </si>
  <si>
    <t>煤</t>
  </si>
  <si>
    <t>muiN24</t>
  </si>
  <si>
    <t>快</t>
  </si>
  <si>
    <t>kuiN21</t>
  </si>
  <si>
    <t>~活：轻松</t>
  </si>
  <si>
    <t>跛</t>
  </si>
  <si>
    <t>paiN53</t>
  </si>
  <si>
    <t>指</t>
  </si>
  <si>
    <t>tsaiN53</t>
  </si>
  <si>
    <t>还</t>
  </si>
  <si>
    <t>haiN24</t>
  </si>
  <si>
    <t>关</t>
  </si>
  <si>
    <t>kuaiN55</t>
  </si>
  <si>
    <t>象声词</t>
  </si>
  <si>
    <t>uaiN55</t>
  </si>
  <si>
    <t>貌</t>
  </si>
  <si>
    <t>闹</t>
  </si>
  <si>
    <t>nauN22</t>
  </si>
  <si>
    <t>mauN22</t>
  </si>
  <si>
    <t>藕</t>
  </si>
  <si>
    <t>ngauN22</t>
  </si>
  <si>
    <t>猫</t>
  </si>
  <si>
    <t>niauN55</t>
  </si>
  <si>
    <t>挠</t>
  </si>
  <si>
    <t>ngiauN55</t>
  </si>
  <si>
    <t>集</t>
  </si>
  <si>
    <t>tsip5</t>
  </si>
  <si>
    <t>邑</t>
  </si>
  <si>
    <t>ip32</t>
  </si>
  <si>
    <t>答</t>
  </si>
  <si>
    <t>tap32</t>
  </si>
  <si>
    <t>压</t>
  </si>
  <si>
    <t>ap32</t>
  </si>
  <si>
    <t>谍</t>
  </si>
  <si>
    <t>tiap5</t>
  </si>
  <si>
    <t>叶</t>
  </si>
  <si>
    <t>iap5</t>
  </si>
  <si>
    <t>笔</t>
  </si>
  <si>
    <t>pit32</t>
  </si>
  <si>
    <t>一</t>
  </si>
  <si>
    <t>it32</t>
  </si>
  <si>
    <t>第~</t>
  </si>
  <si>
    <t>不</t>
  </si>
  <si>
    <t>put32</t>
  </si>
  <si>
    <t>郁</t>
  </si>
  <si>
    <t>ut32</t>
  </si>
  <si>
    <t>八</t>
  </si>
  <si>
    <t>pat32</t>
  </si>
  <si>
    <t>三~</t>
  </si>
  <si>
    <t>扼</t>
  </si>
  <si>
    <t>折</t>
  </si>
  <si>
    <t>at32</t>
  </si>
  <si>
    <t>分~</t>
  </si>
  <si>
    <t>别</t>
  </si>
  <si>
    <t>piat5</t>
  </si>
  <si>
    <t>招手</t>
  </si>
  <si>
    <t>iat5</t>
  </si>
  <si>
    <t>跋</t>
  </si>
  <si>
    <t>puat5</t>
  </si>
  <si>
    <t>越</t>
  </si>
  <si>
    <t>uat5</t>
  </si>
  <si>
    <t>~南</t>
  </si>
  <si>
    <t>白</t>
  </si>
  <si>
    <t>pik5</t>
  </si>
  <si>
    <t>明~</t>
  </si>
  <si>
    <t>译</t>
  </si>
  <si>
    <t>ik5</t>
  </si>
  <si>
    <t>腹</t>
  </si>
  <si>
    <t>pak32</t>
  </si>
  <si>
    <t>破~</t>
  </si>
  <si>
    <t>沃</t>
  </si>
  <si>
    <t>浇水</t>
  </si>
  <si>
    <t>ak32</t>
  </si>
  <si>
    <t>爆裂开</t>
  </si>
  <si>
    <t>piak32</t>
  </si>
  <si>
    <t>卜</t>
  </si>
  <si>
    <t>~卦</t>
  </si>
  <si>
    <t>恶</t>
  </si>
  <si>
    <t>凶狠</t>
  </si>
  <si>
    <t>筑</t>
  </si>
  <si>
    <t>约</t>
  </si>
  <si>
    <t>鼈</t>
  </si>
  <si>
    <t>piX32</t>
  </si>
  <si>
    <t>滴</t>
  </si>
  <si>
    <t>tiX32</t>
  </si>
  <si>
    <t>puX32</t>
  </si>
  <si>
    <t>冒出来，~芽</t>
  </si>
  <si>
    <t>贴近某物以取</t>
  </si>
  <si>
    <t>uX32</t>
  </si>
  <si>
    <t>贴近某物以取热</t>
  </si>
  <si>
    <t>百</t>
  </si>
  <si>
    <t>一~</t>
  </si>
  <si>
    <t>paX32</t>
  </si>
  <si>
    <t>鸭</t>
  </si>
  <si>
    <t>aX32</t>
  </si>
  <si>
    <t>壁</t>
  </si>
  <si>
    <t>piaX32</t>
  </si>
  <si>
    <t>益</t>
  </si>
  <si>
    <t>iaX32</t>
  </si>
  <si>
    <t>puaX5</t>
  </si>
  <si>
    <t>~倒：摔倒</t>
  </si>
  <si>
    <t>活</t>
  </si>
  <si>
    <t>uaX5</t>
  </si>
  <si>
    <t>象声词，呕吐</t>
  </si>
  <si>
    <t>薄</t>
  </si>
  <si>
    <t>poX5</t>
  </si>
  <si>
    <t>学</t>
  </si>
  <si>
    <t>oX5</t>
  </si>
  <si>
    <t>tioX5</t>
  </si>
  <si>
    <t>对</t>
  </si>
  <si>
    <t>药</t>
  </si>
  <si>
    <t>ioX5</t>
  </si>
  <si>
    <t>掰开</t>
  </si>
  <si>
    <t>peX32</t>
  </si>
  <si>
    <t>呃</t>
  </si>
  <si>
    <t>打嗝</t>
  </si>
  <si>
    <t>eX32</t>
  </si>
  <si>
    <t>pueX32</t>
  </si>
  <si>
    <t>狭</t>
  </si>
  <si>
    <t>狭窄</t>
  </si>
  <si>
    <t>ueX5</t>
  </si>
  <si>
    <t>tiuX32</t>
  </si>
  <si>
    <t>抽动，痛的感</t>
  </si>
  <si>
    <t>皱起来</t>
  </si>
  <si>
    <t>kiuX32</t>
  </si>
  <si>
    <t>拔</t>
  </si>
  <si>
    <t>puiX5</t>
  </si>
  <si>
    <t>划</t>
  </si>
  <si>
    <t>uiX5</t>
  </si>
  <si>
    <t>笔~</t>
  </si>
  <si>
    <t>tsuaiX5</t>
  </si>
  <si>
    <t>扭伤；歪了</t>
  </si>
  <si>
    <t>洘~~：很稠</t>
  </si>
  <si>
    <t>裹起来：~薄</t>
  </si>
  <si>
    <t>弯曲；人死的</t>
  </si>
  <si>
    <t>从上往下用力</t>
  </si>
  <si>
    <t>默</t>
  </si>
  <si>
    <t>会~：有能耐</t>
  </si>
  <si>
    <t>紧紧束缚着：</t>
  </si>
  <si>
    <t>物</t>
  </si>
  <si>
    <t>闪</t>
  </si>
  <si>
    <t>凹进去</t>
  </si>
  <si>
    <t>猛扑上去；很</t>
  </si>
  <si>
    <t>拿着衣服</t>
  </si>
  <si>
    <t>膜</t>
  </si>
  <si>
    <t>脉</t>
  </si>
  <si>
    <t>夹饭菜</t>
  </si>
  <si>
    <t>夹，夹子</t>
  </si>
  <si>
    <t>瘪，老太太嘴</t>
  </si>
  <si>
    <t>瓜果不熟的口</t>
  </si>
  <si>
    <t>虫子蠕动的样</t>
  </si>
  <si>
    <t>tauX5</t>
  </si>
  <si>
    <t>kauX32</t>
  </si>
  <si>
    <t>khiauX5</t>
  </si>
  <si>
    <t>人死的委婉说法</t>
  </si>
  <si>
    <t>hmX32</t>
  </si>
  <si>
    <t>hmX5</t>
  </si>
  <si>
    <t>pngX5</t>
  </si>
  <si>
    <t>sngX32</t>
  </si>
  <si>
    <t>miNX5</t>
  </si>
  <si>
    <t>siNX32</t>
  </si>
  <si>
    <t>naNX32</t>
  </si>
  <si>
    <t>saNX32</t>
  </si>
  <si>
    <t>hiaNX32</t>
  </si>
  <si>
    <t>meNX5</t>
  </si>
  <si>
    <t>ngeNX32</t>
  </si>
  <si>
    <t>ngueNX5</t>
  </si>
  <si>
    <t>uaNX5</t>
  </si>
  <si>
    <t>mauNX32</t>
  </si>
  <si>
    <t>hauNX5</t>
  </si>
  <si>
    <t>瓜果不熟的口感</t>
  </si>
  <si>
    <t>ngiauNX5</t>
  </si>
  <si>
    <t>i</t>
  </si>
  <si>
    <t>u</t>
  </si>
  <si>
    <t>a</t>
  </si>
  <si>
    <t>ia</t>
  </si>
  <si>
    <t>ua</t>
  </si>
  <si>
    <t>ɔ</t>
  </si>
  <si>
    <t>o</t>
  </si>
  <si>
    <t>io</t>
  </si>
  <si>
    <t>e</t>
  </si>
  <si>
    <t>ue</t>
  </si>
  <si>
    <t>iu</t>
  </si>
  <si>
    <t>ui</t>
  </si>
  <si>
    <t>ai</t>
  </si>
  <si>
    <t>uai</t>
  </si>
  <si>
    <t>au</t>
  </si>
  <si>
    <t>iau</t>
  </si>
  <si>
    <t>m</t>
  </si>
  <si>
    <t>im</t>
  </si>
  <si>
    <t>am</t>
  </si>
  <si>
    <t>iam</t>
  </si>
  <si>
    <t>in</t>
  </si>
  <si>
    <t>un</t>
  </si>
  <si>
    <t>an</t>
  </si>
  <si>
    <t>ian</t>
  </si>
  <si>
    <t>uan</t>
  </si>
  <si>
    <t>ŋ</t>
  </si>
  <si>
    <t>iŋ</t>
  </si>
  <si>
    <t>aŋ</t>
  </si>
  <si>
    <t>iaŋ</t>
  </si>
  <si>
    <t>ɔŋ</t>
  </si>
  <si>
    <t>iɔŋ</t>
  </si>
  <si>
    <t>ĩ</t>
  </si>
  <si>
    <t>ã</t>
  </si>
  <si>
    <t>iã</t>
  </si>
  <si>
    <t>uã</t>
  </si>
  <si>
    <t>ẽ</t>
  </si>
  <si>
    <t>ie</t>
  </si>
  <si>
    <t>ɔ̃</t>
  </si>
  <si>
    <t>uaŋ</t>
  </si>
  <si>
    <t>ãĩ</t>
  </si>
  <si>
    <t>ãu</t>
  </si>
  <si>
    <t>iũ</t>
  </si>
  <si>
    <t>iõ</t>
  </si>
  <si>
    <t>iãu</t>
  </si>
  <si>
    <t>aʔ</t>
  </si>
  <si>
    <t>iʔ</t>
  </si>
  <si>
    <t>eʔ</t>
  </si>
  <si>
    <t>oʔ</t>
  </si>
  <si>
    <t>ɔʔ</t>
  </si>
  <si>
    <t>uʔ</t>
  </si>
  <si>
    <t>iuʔ</t>
  </si>
  <si>
    <t>iaʔ</t>
  </si>
  <si>
    <t>ioʔ</t>
  </si>
  <si>
    <t>uiʔ</t>
  </si>
  <si>
    <t>uaʔ</t>
  </si>
  <si>
    <t>ueʔ</t>
  </si>
  <si>
    <t>aiʔ</t>
  </si>
  <si>
    <t>auʔ</t>
  </si>
  <si>
    <t>iauʔ</t>
  </si>
  <si>
    <t>uaiʔ</t>
  </si>
  <si>
    <t>mʔ</t>
  </si>
  <si>
    <t>ŋʔ</t>
  </si>
  <si>
    <t>ap</t>
  </si>
  <si>
    <t>at</t>
  </si>
  <si>
    <t>ak</t>
  </si>
  <si>
    <t>ip</t>
  </si>
  <si>
    <t>iap</t>
  </si>
  <si>
    <t>it</t>
  </si>
  <si>
    <t>iat</t>
  </si>
  <si>
    <t>ik</t>
  </si>
  <si>
    <t>iak</t>
  </si>
  <si>
    <t>iɔk</t>
  </si>
  <si>
    <t>ut</t>
  </si>
  <si>
    <t>uat</t>
  </si>
  <si>
    <t>ĩʔ</t>
  </si>
  <si>
    <t>ẽʔ</t>
  </si>
  <si>
    <t>ãʔ</t>
  </si>
  <si>
    <t>ɔ̃ʔ</t>
  </si>
  <si>
    <t>ãĩʔ</t>
  </si>
  <si>
    <t>ãuʔ</t>
  </si>
  <si>
    <t>iãʔ</t>
  </si>
  <si>
    <t>iõuʔ</t>
  </si>
  <si>
    <t>ũi</t>
  </si>
  <si>
    <t>ũ</t>
  </si>
  <si>
    <t>ũe</t>
  </si>
  <si>
    <t>ũa</t>
  </si>
  <si>
    <t>ũai</t>
  </si>
  <si>
    <t>ũiʔ</t>
  </si>
  <si>
    <t>ũeʔ</t>
  </si>
  <si>
    <t>ũaiʔ</t>
  </si>
  <si>
    <t>NA</t>
  </si>
  <si>
    <t>羅常培</t>
  </si>
  <si>
    <t>廈門方言志</t>
  </si>
  <si>
    <t>iə̃ŋ</t>
  </si>
  <si>
    <t>ɑŋ</t>
  </si>
  <si>
    <t>ʊn</t>
  </si>
  <si>
    <t>ʊɑn</t>
  </si>
  <si>
    <t>ʊɑŋ</t>
  </si>
  <si>
    <t>iɑm</t>
  </si>
  <si>
    <t>ɑm</t>
  </si>
  <si>
    <t>ɔ:ŋ</t>
  </si>
  <si>
    <t>ɑp</t>
  </si>
  <si>
    <t>ɑk</t>
  </si>
  <si>
    <t>ɔk</t>
  </si>
  <si>
    <t>ɔ:k</t>
  </si>
  <si>
    <t>ıp</t>
  </si>
  <si>
    <t>ıɑp</t>
  </si>
  <si>
    <t>ıɛt</t>
  </si>
  <si>
    <t>ıə̆k</t>
  </si>
  <si>
    <t>ıɑk</t>
  </si>
  <si>
    <t>ıɔk</t>
  </si>
  <si>
    <t>ʊt</t>
  </si>
  <si>
    <t>ʊɑt</t>
  </si>
  <si>
    <t>周長楫1991</t>
  </si>
  <si>
    <t>uĩ</t>
  </si>
  <si>
    <t>周長楫1998</t>
  </si>
  <si>
    <t>C(G)V</t>
  </si>
  <si>
    <t>C(G)Vn</t>
  </si>
  <si>
    <t>C(G)Vm</t>
  </si>
  <si>
    <t>C(G)Vŋ</t>
  </si>
  <si>
    <t>iuN55</t>
  </si>
  <si>
    <t>in/it</t>
  </si>
  <si>
    <t>an/at</t>
  </si>
  <si>
    <t>un/ut</t>
  </si>
  <si>
    <t>ian/iat</t>
  </si>
  <si>
    <t>uan/uat</t>
  </si>
  <si>
    <t>im/ip</t>
  </si>
  <si>
    <t>am/ap</t>
  </si>
  <si>
    <t>iam/iap</t>
  </si>
  <si>
    <t>iŋ/ik</t>
  </si>
  <si>
    <t>aŋ/ak</t>
  </si>
  <si>
    <t>ɔŋ/ɔk</t>
  </si>
  <si>
    <t>iaŋ/iak</t>
  </si>
  <si>
    <t>iɔŋ/iɔk</t>
  </si>
  <si>
    <t>C(G)Vʔ</t>
  </si>
  <si>
    <t>C(G)Ṽ</t>
  </si>
  <si>
    <t>C(G)Ṽʔ</t>
  </si>
  <si>
    <t>variety</t>
  </si>
  <si>
    <t>Xiamen</t>
  </si>
  <si>
    <t>Cangnan</t>
  </si>
  <si>
    <t>ɯ</t>
  </si>
  <si>
    <t>ə</t>
  </si>
  <si>
    <t>ɐ</t>
  </si>
  <si>
    <t>iɔ</t>
  </si>
  <si>
    <t>uɐ</t>
  </si>
  <si>
    <t>əu</t>
  </si>
  <si>
    <t>ieu</t>
  </si>
  <si>
    <t>əŋ</t>
  </si>
  <si>
    <t>ə̃</t>
  </si>
  <si>
    <t>ũĩ</t>
  </si>
  <si>
    <t>ũã</t>
  </si>
  <si>
    <t>ĩã</t>
  </si>
  <si>
    <t>ə̃ũ</t>
  </si>
  <si>
    <t>ĩũ</t>
  </si>
  <si>
    <t>ĩãũ</t>
  </si>
  <si>
    <t>pO55</t>
  </si>
  <si>
    <t>O55</t>
  </si>
  <si>
    <t>tOng55</t>
  </si>
  <si>
    <t>Ong55</t>
  </si>
  <si>
    <t>tiOng55</t>
  </si>
  <si>
    <t>iOng55</t>
  </si>
  <si>
    <t>pOk5</t>
  </si>
  <si>
    <t>Ok32</t>
  </si>
  <si>
    <t>tiOk32</t>
  </si>
  <si>
    <t>iOk32</t>
  </si>
  <si>
    <t>OX5</t>
  </si>
  <si>
    <t>mONX5</t>
  </si>
  <si>
    <t>rawname</t>
  </si>
  <si>
    <t>notation</t>
  </si>
  <si>
    <t>id</t>
  </si>
  <si>
    <t>鳖</t>
  </si>
  <si>
    <t>ID</t>
  </si>
  <si>
    <t>name</t>
  </si>
  <si>
    <t>gender</t>
  </si>
  <si>
    <t>age</t>
  </si>
  <si>
    <t>F01</t>
  </si>
  <si>
    <t>楊麗觀</t>
  </si>
  <si>
    <t>female</t>
  </si>
  <si>
    <t>F02</t>
  </si>
  <si>
    <t>F03</t>
  </si>
  <si>
    <t>F04</t>
  </si>
  <si>
    <t>F05</t>
  </si>
  <si>
    <t>M01</t>
  </si>
  <si>
    <t>M02</t>
  </si>
  <si>
    <t>M03</t>
  </si>
  <si>
    <t>M04</t>
  </si>
  <si>
    <t>M05</t>
  </si>
  <si>
    <t>male</t>
  </si>
  <si>
    <t>毛文君</t>
  </si>
  <si>
    <t>謝靜</t>
  </si>
  <si>
    <t>林菁</t>
  </si>
  <si>
    <t>陳美詩</t>
  </si>
  <si>
    <t>陳舒暢</t>
  </si>
  <si>
    <t>陳龍超</t>
  </si>
  <si>
    <t>陳鵬宇</t>
  </si>
  <si>
    <t>許文驍</t>
  </si>
  <si>
    <t>黃聰毅</t>
  </si>
  <si>
    <t>闭</t>
  </si>
  <si>
    <t>知</t>
  </si>
  <si>
    <t>妇</t>
  </si>
  <si>
    <t>厨</t>
  </si>
  <si>
    <t>爬</t>
  </si>
  <si>
    <t>笛</t>
  </si>
  <si>
    <t>题</t>
  </si>
  <si>
    <t>霸</t>
  </si>
  <si>
    <t>打</t>
  </si>
  <si>
    <t>斜</t>
  </si>
  <si>
    <t>靴</t>
  </si>
  <si>
    <t>大</t>
  </si>
  <si>
    <t>补</t>
  </si>
  <si>
    <t>赌</t>
  </si>
  <si>
    <t>俗</t>
  </si>
  <si>
    <t>育</t>
  </si>
  <si>
    <t>婆</t>
  </si>
  <si>
    <t>刀</t>
  </si>
  <si>
    <t>猪</t>
  </si>
  <si>
    <t>自</t>
  </si>
  <si>
    <t>坐</t>
  </si>
  <si>
    <t>税</t>
  </si>
  <si>
    <t>谷</t>
  </si>
  <si>
    <t>毒</t>
  </si>
  <si>
    <t>佛</t>
  </si>
  <si>
    <t>突</t>
  </si>
  <si>
    <t>丢</t>
  </si>
  <si>
    <t>九</t>
  </si>
  <si>
    <t>肥</t>
  </si>
  <si>
    <t>痘</t>
  </si>
  <si>
    <t>勾</t>
  </si>
  <si>
    <t>表</t>
  </si>
  <si>
    <t>桥</t>
  </si>
  <si>
    <t>牌</t>
  </si>
  <si>
    <t>贷</t>
  </si>
  <si>
    <t>怪</t>
  </si>
  <si>
    <t>罩</t>
  </si>
  <si>
    <t>雕</t>
  </si>
  <si>
    <t>陈</t>
  </si>
  <si>
    <t>田</t>
  </si>
  <si>
    <t>观</t>
  </si>
  <si>
    <t>冻</t>
  </si>
  <si>
    <t>长</t>
  </si>
  <si>
    <t>将</t>
  </si>
  <si>
    <t>森</t>
  </si>
  <si>
    <t>近</t>
  </si>
  <si>
    <t>珍</t>
  </si>
  <si>
    <t>蹲</t>
  </si>
  <si>
    <t>兵</t>
  </si>
  <si>
    <t>丁</t>
  </si>
  <si>
    <t>帮</t>
  </si>
  <si>
    <t>公</t>
  </si>
  <si>
    <t>中</t>
  </si>
  <si>
    <t>共</t>
  </si>
  <si>
    <t>甜</t>
  </si>
  <si>
    <t>见</t>
  </si>
  <si>
    <t>县</t>
  </si>
  <si>
    <t>饼</t>
  </si>
  <si>
    <t>定</t>
  </si>
  <si>
    <t>官</t>
  </si>
  <si>
    <t>烤</t>
  </si>
  <si>
    <t>考</t>
  </si>
  <si>
    <t>胆</t>
  </si>
  <si>
    <t>柑</t>
  </si>
  <si>
    <t>店</t>
  </si>
  <si>
    <t>闲</t>
  </si>
  <si>
    <t>想</t>
  </si>
  <si>
    <t>当</t>
  </si>
  <si>
    <t>character</t>
  </si>
  <si>
    <t>pi1</t>
  </si>
  <si>
    <t>ti1</t>
  </si>
  <si>
    <t>hu2</t>
  </si>
  <si>
    <t>tu2</t>
  </si>
  <si>
    <t>pe2</t>
  </si>
  <si>
    <t>te4</t>
  </si>
  <si>
    <t>tie3</t>
  </si>
  <si>
    <t>pie3</t>
  </si>
  <si>
    <t>pue1</t>
  </si>
  <si>
    <t>tue2</t>
  </si>
  <si>
    <t>pa5</t>
  </si>
  <si>
    <t>pha3</t>
  </si>
  <si>
    <t>tshia2</t>
  </si>
  <si>
    <t>hia1</t>
  </si>
  <si>
    <t>tua5</t>
  </si>
  <si>
    <t>sua1</t>
  </si>
  <si>
    <t>pO3</t>
  </si>
  <si>
    <t>tO3</t>
  </si>
  <si>
    <t>siO2</t>
  </si>
  <si>
    <t>iO2</t>
  </si>
  <si>
    <t>po2</t>
  </si>
  <si>
    <t>to1</t>
  </si>
  <si>
    <t>tM1</t>
  </si>
  <si>
    <t>tsM2</t>
  </si>
  <si>
    <t>tsE5</t>
  </si>
  <si>
    <t>sE5</t>
  </si>
  <si>
    <t>kA3</t>
  </si>
  <si>
    <t>tA2</t>
  </si>
  <si>
    <t>puA2</t>
  </si>
  <si>
    <t>tuA2</t>
  </si>
  <si>
    <t>tiu1</t>
  </si>
  <si>
    <t>kiu3</t>
  </si>
  <si>
    <t>pui2</t>
  </si>
  <si>
    <t>tui5</t>
  </si>
  <si>
    <t>tEu5</t>
  </si>
  <si>
    <t>kEu1</t>
  </si>
  <si>
    <t>pieu3</t>
  </si>
  <si>
    <t>kieu2</t>
  </si>
  <si>
    <t>pai2</t>
  </si>
  <si>
    <t>tai3</t>
  </si>
  <si>
    <t>kuai4</t>
  </si>
  <si>
    <t>uai1</t>
  </si>
  <si>
    <t>pau1</t>
  </si>
  <si>
    <t>tau5</t>
  </si>
  <si>
    <t>piau1</t>
  </si>
  <si>
    <t>tiau1</t>
  </si>
  <si>
    <t>pan1</t>
  </si>
  <si>
    <t>tan2</t>
  </si>
  <si>
    <t>pian1</t>
  </si>
  <si>
    <t>tian2</t>
  </si>
  <si>
    <t>kuan1</t>
  </si>
  <si>
    <t>tuan1</t>
  </si>
  <si>
    <t>tiang3</t>
  </si>
  <si>
    <t>tsiang5</t>
  </si>
  <si>
    <t>sEn1</t>
  </si>
  <si>
    <t>kEn3</t>
  </si>
  <si>
    <t>tin1</t>
  </si>
  <si>
    <t>hun1</t>
  </si>
  <si>
    <t>tun1</t>
  </si>
  <si>
    <t>ping1</t>
  </si>
  <si>
    <t>ting1</t>
  </si>
  <si>
    <t>pOng1</t>
  </si>
  <si>
    <t>kOng1</t>
  </si>
  <si>
    <t>tiOng1</t>
  </si>
  <si>
    <t>kiOng1</t>
  </si>
  <si>
    <t>tiN1</t>
  </si>
  <si>
    <t>kiN5</t>
  </si>
  <si>
    <t>kuiN1</t>
  </si>
  <si>
    <t>kuiN5</t>
  </si>
  <si>
    <t>piaN3</t>
  </si>
  <si>
    <t>tiaN1</t>
  </si>
  <si>
    <t>puaN1</t>
  </si>
  <si>
    <t>kuaN1</t>
  </si>
  <si>
    <t>khON3</t>
  </si>
  <si>
    <t>tEN3</t>
  </si>
  <si>
    <t>kEN1</t>
  </si>
  <si>
    <t>taiN5</t>
  </si>
  <si>
    <t>aiN2</t>
  </si>
  <si>
    <t>tiuN1</t>
  </si>
  <si>
    <t>siuN1</t>
  </si>
  <si>
    <t>tng1</t>
  </si>
  <si>
    <t>kng5</t>
  </si>
  <si>
    <t>江</t>
  </si>
  <si>
    <t>kang1</t>
  </si>
  <si>
    <t>tang5</t>
  </si>
  <si>
    <t>v001</t>
  </si>
  <si>
    <t>v002</t>
  </si>
  <si>
    <t>v003</t>
  </si>
  <si>
    <t>v004</t>
  </si>
  <si>
    <t>v005</t>
  </si>
  <si>
    <t>v006</t>
  </si>
  <si>
    <t>v007</t>
  </si>
  <si>
    <t>v008</t>
  </si>
  <si>
    <t>v009</t>
  </si>
  <si>
    <t>v010</t>
  </si>
  <si>
    <t>v011</t>
  </si>
  <si>
    <t>v012</t>
  </si>
  <si>
    <t>v013</t>
  </si>
  <si>
    <t>v014</t>
  </si>
  <si>
    <t>v015</t>
  </si>
  <si>
    <t>v016</t>
  </si>
  <si>
    <t>v017</t>
  </si>
  <si>
    <t>v018</t>
  </si>
  <si>
    <t>v019</t>
  </si>
  <si>
    <t>v020</t>
  </si>
  <si>
    <t>v021</t>
  </si>
  <si>
    <t>v022</t>
  </si>
  <si>
    <t>v023</t>
  </si>
  <si>
    <t>v024</t>
  </si>
  <si>
    <t>v025</t>
  </si>
  <si>
    <t>v026</t>
  </si>
  <si>
    <t>v027</t>
  </si>
  <si>
    <t>v028</t>
  </si>
  <si>
    <t>v029</t>
  </si>
  <si>
    <t>v030</t>
  </si>
  <si>
    <t>v031</t>
  </si>
  <si>
    <t>v032</t>
  </si>
  <si>
    <t>v033</t>
  </si>
  <si>
    <t>v034</t>
  </si>
  <si>
    <t>v035</t>
  </si>
  <si>
    <t>v036</t>
  </si>
  <si>
    <t>v037</t>
  </si>
  <si>
    <t>v038</t>
  </si>
  <si>
    <t>v039</t>
  </si>
  <si>
    <t>v040</t>
  </si>
  <si>
    <t>v041</t>
  </si>
  <si>
    <t>v042</t>
  </si>
  <si>
    <t>v043</t>
  </si>
  <si>
    <t>v044</t>
  </si>
  <si>
    <t>v045</t>
  </si>
  <si>
    <t>v046</t>
  </si>
  <si>
    <t>v047</t>
  </si>
  <si>
    <t>v048</t>
  </si>
  <si>
    <t>v049</t>
  </si>
  <si>
    <t>v050</t>
  </si>
  <si>
    <t>v051</t>
  </si>
  <si>
    <t>v052</t>
  </si>
  <si>
    <t>v053</t>
  </si>
  <si>
    <t>v054</t>
  </si>
  <si>
    <t>v055</t>
  </si>
  <si>
    <t>v056</t>
  </si>
  <si>
    <t>v057</t>
  </si>
  <si>
    <t>v058</t>
  </si>
  <si>
    <t>v059</t>
  </si>
  <si>
    <t>v060</t>
  </si>
  <si>
    <t>v061</t>
  </si>
  <si>
    <t>v062</t>
  </si>
  <si>
    <t>v063</t>
  </si>
  <si>
    <t>v064</t>
  </si>
  <si>
    <t>v065</t>
  </si>
  <si>
    <t>v066</t>
  </si>
  <si>
    <t>v067</t>
  </si>
  <si>
    <t>v068</t>
  </si>
  <si>
    <t>v069</t>
  </si>
  <si>
    <t>v070</t>
  </si>
  <si>
    <t>v071</t>
  </si>
  <si>
    <t>v072</t>
  </si>
  <si>
    <t>v073</t>
  </si>
  <si>
    <t>v074</t>
  </si>
  <si>
    <t>v075</t>
  </si>
  <si>
    <t>v076</t>
  </si>
  <si>
    <t>v077</t>
  </si>
  <si>
    <t>v078</t>
  </si>
  <si>
    <t>v079</t>
  </si>
  <si>
    <t>v080</t>
  </si>
  <si>
    <t>v081</t>
  </si>
  <si>
    <t>v082</t>
  </si>
  <si>
    <t>v083</t>
  </si>
  <si>
    <t>v084</t>
  </si>
  <si>
    <t>v085</t>
  </si>
  <si>
    <t>v086</t>
  </si>
  <si>
    <t>广</t>
  </si>
  <si>
    <t>第</t>
  </si>
  <si>
    <t>今</t>
  </si>
  <si>
    <t>kin2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</si>
</sst>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2"/>
      <color theme="1"/>
      <name val="Times New Roman"/>
      <family val="1"/>
    </font>
    <font>
      <sz val="12"/>
      <color rgb="FF000000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2" borderId="0" xfId="0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0FB528-73D9-C04E-8E0D-759379313037}">
  <dimension ref="A1:H157"/>
  <sheetViews>
    <sheetView zoomScale="125" workbookViewId="0">
      <selection activeCell="D2" sqref="D2"/>
    </sheetView>
  </sheetViews>
  <sheetFormatPr baseColWidth="10" defaultRowHeight="16" x14ac:dyDescent="0.2"/>
  <sheetData>
    <row r="1" spans="1:8" x14ac:dyDescent="0.2">
      <c r="A1" t="s">
        <v>26</v>
      </c>
      <c r="B1" t="s">
        <v>506</v>
      </c>
      <c r="C1" t="s">
        <v>505</v>
      </c>
      <c r="D1" t="s">
        <v>27</v>
      </c>
      <c r="E1" t="s">
        <v>507</v>
      </c>
      <c r="F1" t="s">
        <v>0</v>
      </c>
      <c r="G1" t="s">
        <v>1</v>
      </c>
      <c r="H1" t="s">
        <v>13</v>
      </c>
    </row>
    <row r="2" spans="1:8" x14ac:dyDescent="0.2">
      <c r="A2" cm="1">
        <f t="array" ref="A2:A157" xml:space="preserve"> _xlfn.SEQUENCE(156, 1, 1,1)</f>
        <v>1</v>
      </c>
      <c r="B2" t="s">
        <v>2</v>
      </c>
      <c r="C2" t="str">
        <f>_xlfn.CONCAT(TEXT(A2, "00000"), B2)</f>
        <v>00001悲</v>
      </c>
      <c r="D2" t="str">
        <f>_xlfn.CONCAT(TEXT(E2, "000"), "-", G2)</f>
        <v>001-pi55</v>
      </c>
      <c r="E2">
        <v>1</v>
      </c>
      <c r="F2" t="s">
        <v>2</v>
      </c>
      <c r="G2" t="s">
        <v>3</v>
      </c>
    </row>
    <row r="3" spans="1:8" x14ac:dyDescent="0.2">
      <c r="A3">
        <v>2</v>
      </c>
      <c r="B3" t="s">
        <v>37</v>
      </c>
      <c r="C3" t="str">
        <f t="shared" ref="C3:C66" si="0">_xlfn.CONCAT(TEXT(A3, "00000"), B3)</f>
        <v>00002医</v>
      </c>
      <c r="D3" t="str">
        <f t="shared" ref="D3:D66" si="1">_xlfn.CONCAT(TEXT(E3, "000"), "-", G3)</f>
        <v>002-i55</v>
      </c>
      <c r="E3">
        <v>2</v>
      </c>
      <c r="F3" t="s">
        <v>37</v>
      </c>
      <c r="G3" t="s">
        <v>4</v>
      </c>
    </row>
    <row r="4" spans="1:8" x14ac:dyDescent="0.2">
      <c r="A4">
        <v>3</v>
      </c>
      <c r="B4" t="s">
        <v>5</v>
      </c>
      <c r="C4" t="str">
        <f t="shared" si="0"/>
        <v>00003推</v>
      </c>
      <c r="D4" t="str">
        <f t="shared" si="1"/>
        <v>003-tu55</v>
      </c>
      <c r="E4">
        <v>3</v>
      </c>
      <c r="F4" t="s">
        <v>5</v>
      </c>
      <c r="G4" t="s">
        <v>7</v>
      </c>
    </row>
    <row r="5" spans="1:8" x14ac:dyDescent="0.2">
      <c r="A5">
        <v>4</v>
      </c>
      <c r="B5" t="s">
        <v>6</v>
      </c>
      <c r="C5" t="str">
        <f t="shared" si="0"/>
        <v>00004淤</v>
      </c>
      <c r="D5" t="str">
        <f t="shared" si="1"/>
        <v>004-u55</v>
      </c>
      <c r="E5">
        <v>4</v>
      </c>
      <c r="F5" t="s">
        <v>6</v>
      </c>
      <c r="G5" t="s">
        <v>8</v>
      </c>
    </row>
    <row r="6" spans="1:8" x14ac:dyDescent="0.2">
      <c r="A6">
        <v>5</v>
      </c>
      <c r="B6" t="s">
        <v>9</v>
      </c>
      <c r="C6" t="str">
        <f t="shared" si="0"/>
        <v>00005巴</v>
      </c>
      <c r="D6" t="str">
        <f t="shared" si="1"/>
        <v>005-pa55</v>
      </c>
      <c r="E6">
        <v>5</v>
      </c>
      <c r="F6" t="s">
        <v>9</v>
      </c>
      <c r="G6" t="s">
        <v>10</v>
      </c>
    </row>
    <row r="7" spans="1:8" x14ac:dyDescent="0.2">
      <c r="A7">
        <v>6</v>
      </c>
      <c r="B7" t="s">
        <v>38</v>
      </c>
      <c r="C7" t="str">
        <f t="shared" si="0"/>
        <v>00006鸦</v>
      </c>
      <c r="D7" t="str">
        <f t="shared" si="1"/>
        <v>006-a55</v>
      </c>
      <c r="E7">
        <v>6</v>
      </c>
      <c r="F7" t="s">
        <v>38</v>
      </c>
      <c r="G7" t="s">
        <v>11</v>
      </c>
      <c r="H7" t="s">
        <v>12</v>
      </c>
    </row>
    <row r="8" spans="1:8" x14ac:dyDescent="0.2">
      <c r="A8">
        <v>7</v>
      </c>
      <c r="B8" t="s">
        <v>14</v>
      </c>
      <c r="C8" t="str">
        <f t="shared" si="0"/>
        <v>00007爹</v>
      </c>
      <c r="D8" t="str">
        <f t="shared" si="1"/>
        <v>007-tia55</v>
      </c>
      <c r="E8">
        <v>7</v>
      </c>
      <c r="F8" t="s">
        <v>14</v>
      </c>
      <c r="G8" t="s">
        <v>15</v>
      </c>
    </row>
    <row r="9" spans="1:8" x14ac:dyDescent="0.2">
      <c r="A9">
        <v>8</v>
      </c>
      <c r="B9" t="s">
        <v>39</v>
      </c>
      <c r="C9" t="str">
        <f t="shared" si="0"/>
        <v>00008爷</v>
      </c>
      <c r="D9" t="str">
        <f t="shared" si="1"/>
        <v>008-ia24</v>
      </c>
      <c r="E9">
        <v>8</v>
      </c>
      <c r="F9" t="s">
        <v>39</v>
      </c>
      <c r="G9" t="s">
        <v>16</v>
      </c>
    </row>
    <row r="10" spans="1:8" x14ac:dyDescent="0.2">
      <c r="A10">
        <v>9</v>
      </c>
      <c r="B10" t="s">
        <v>17</v>
      </c>
      <c r="C10" t="str">
        <f t="shared" si="0"/>
        <v>00009沙</v>
      </c>
      <c r="D10" t="str">
        <f t="shared" si="1"/>
        <v>009-sua55</v>
      </c>
      <c r="E10">
        <v>9</v>
      </c>
      <c r="F10" t="s">
        <v>17</v>
      </c>
      <c r="G10" t="s">
        <v>18</v>
      </c>
    </row>
    <row r="11" spans="1:8" x14ac:dyDescent="0.2">
      <c r="A11">
        <v>10</v>
      </c>
      <c r="B11" t="s">
        <v>19</v>
      </c>
      <c r="C11" t="str">
        <f t="shared" si="0"/>
        <v>00010歌</v>
      </c>
      <c r="D11" t="str">
        <f t="shared" si="1"/>
        <v>010-kua55</v>
      </c>
      <c r="E11">
        <v>10</v>
      </c>
      <c r="F11" t="s">
        <v>19</v>
      </c>
      <c r="G11" t="s">
        <v>20</v>
      </c>
    </row>
    <row r="12" spans="1:8" x14ac:dyDescent="0.2">
      <c r="A12">
        <v>11</v>
      </c>
      <c r="B12" t="s">
        <v>21</v>
      </c>
      <c r="C12" t="str">
        <f t="shared" si="0"/>
        <v>00011蛙</v>
      </c>
      <c r="D12" t="str">
        <f t="shared" si="1"/>
        <v>011-ua55</v>
      </c>
      <c r="E12">
        <v>11</v>
      </c>
      <c r="F12" t="s">
        <v>21</v>
      </c>
      <c r="G12" t="s">
        <v>22</v>
      </c>
    </row>
    <row r="13" spans="1:8" x14ac:dyDescent="0.2">
      <c r="A13">
        <v>12</v>
      </c>
      <c r="B13" t="s">
        <v>28</v>
      </c>
      <c r="C13" t="str">
        <f t="shared" si="0"/>
        <v>00012上~，下~，</v>
      </c>
      <c r="D13" t="str">
        <f t="shared" si="1"/>
        <v>012-pO55</v>
      </c>
      <c r="E13">
        <v>12</v>
      </c>
      <c r="F13" t="s">
        <v>23</v>
      </c>
      <c r="G13" t="s">
        <v>493</v>
      </c>
    </row>
    <row r="14" spans="1:8" x14ac:dyDescent="0.2">
      <c r="A14">
        <v>13</v>
      </c>
      <c r="B14" t="s">
        <v>29</v>
      </c>
      <c r="C14" t="str">
        <f t="shared" si="0"/>
        <v>00013黑</v>
      </c>
      <c r="D14" t="str">
        <f t="shared" si="1"/>
        <v>013-O55</v>
      </c>
      <c r="E14">
        <v>13</v>
      </c>
      <c r="F14" t="s">
        <v>40</v>
      </c>
      <c r="G14" t="s">
        <v>494</v>
      </c>
    </row>
    <row r="15" spans="1:8" x14ac:dyDescent="0.2">
      <c r="A15">
        <v>14</v>
      </c>
      <c r="B15" t="s">
        <v>24</v>
      </c>
      <c r="C15" t="str">
        <f t="shared" si="0"/>
        <v>00014褒</v>
      </c>
      <c r="D15" t="str">
        <f t="shared" si="1"/>
        <v>014-po55</v>
      </c>
      <c r="E15">
        <v>14</v>
      </c>
      <c r="F15" t="s">
        <v>24</v>
      </c>
      <c r="G15" t="s">
        <v>25</v>
      </c>
    </row>
    <row r="16" spans="1:8" x14ac:dyDescent="0.2">
      <c r="A16">
        <v>15</v>
      </c>
      <c r="B16" t="s">
        <v>30</v>
      </c>
      <c r="C16" t="str">
        <f t="shared" si="0"/>
        <v>00015~白菜；~唠</v>
      </c>
      <c r="D16" t="str">
        <f t="shared" si="1"/>
        <v>015-o55</v>
      </c>
      <c r="E16">
        <v>15</v>
      </c>
      <c r="F16" t="s">
        <v>41</v>
      </c>
      <c r="G16" t="s">
        <v>31</v>
      </c>
    </row>
    <row r="17" spans="1:7" x14ac:dyDescent="0.2">
      <c r="A17">
        <v>16</v>
      </c>
      <c r="B17" t="s">
        <v>32</v>
      </c>
      <c r="C17" t="str">
        <f t="shared" si="0"/>
        <v>00016飞~</v>
      </c>
      <c r="D17" t="str">
        <f t="shared" si="1"/>
        <v>016-pio55</v>
      </c>
      <c r="E17">
        <v>16</v>
      </c>
      <c r="F17" t="s">
        <v>42</v>
      </c>
      <c r="G17" t="s">
        <v>33</v>
      </c>
    </row>
    <row r="18" spans="1:7" x14ac:dyDescent="0.2">
      <c r="A18">
        <v>17</v>
      </c>
      <c r="B18" t="s">
        <v>34</v>
      </c>
      <c r="C18" t="str">
        <f t="shared" si="0"/>
        <v>00017腰</v>
      </c>
      <c r="D18" t="str">
        <f t="shared" si="1"/>
        <v>017-io55</v>
      </c>
      <c r="E18">
        <v>17</v>
      </c>
      <c r="F18" t="s">
        <v>34</v>
      </c>
      <c r="G18" t="s">
        <v>35</v>
      </c>
    </row>
    <row r="19" spans="1:7" x14ac:dyDescent="0.2">
      <c r="A19">
        <v>18</v>
      </c>
      <c r="B19" t="s">
        <v>43</v>
      </c>
      <c r="C19" t="str">
        <f t="shared" si="0"/>
        <v>00018飞</v>
      </c>
      <c r="D19" t="str">
        <f t="shared" si="1"/>
        <v>018-pe55</v>
      </c>
      <c r="E19">
        <v>18</v>
      </c>
      <c r="F19" t="s">
        <v>43</v>
      </c>
      <c r="G19" t="s">
        <v>36</v>
      </c>
    </row>
    <row r="20" spans="1:7" x14ac:dyDescent="0.2">
      <c r="A20">
        <v>19</v>
      </c>
      <c r="B20" t="s">
        <v>44</v>
      </c>
      <c r="C20" t="str">
        <f t="shared" si="0"/>
        <v>00019锅</v>
      </c>
      <c r="D20" t="str">
        <f t="shared" si="1"/>
        <v>019-e55</v>
      </c>
      <c r="E20">
        <v>19</v>
      </c>
      <c r="F20" t="s">
        <v>44</v>
      </c>
      <c r="G20" t="s">
        <v>45</v>
      </c>
    </row>
    <row r="21" spans="1:7" x14ac:dyDescent="0.2">
      <c r="A21">
        <v>20</v>
      </c>
      <c r="B21" t="s">
        <v>46</v>
      </c>
      <c r="C21" t="str">
        <f t="shared" si="0"/>
        <v>00020杯</v>
      </c>
      <c r="D21" t="str">
        <f t="shared" si="1"/>
        <v>020-pue55</v>
      </c>
      <c r="E21">
        <v>20</v>
      </c>
      <c r="F21" t="s">
        <v>46</v>
      </c>
      <c r="G21" t="s">
        <v>47</v>
      </c>
    </row>
    <row r="22" spans="1:7" x14ac:dyDescent="0.2">
      <c r="A22">
        <v>21</v>
      </c>
      <c r="B22" t="s">
        <v>48</v>
      </c>
      <c r="C22" t="str">
        <f t="shared" si="0"/>
        <v>00021~倒：身子紧</v>
      </c>
      <c r="D22" t="str">
        <f t="shared" si="1"/>
        <v>021-ue55</v>
      </c>
      <c r="E22">
        <v>21</v>
      </c>
      <c r="F22" t="s">
        <v>50</v>
      </c>
      <c r="G22" t="s">
        <v>49</v>
      </c>
    </row>
    <row r="23" spans="1:7" x14ac:dyDescent="0.2">
      <c r="A23">
        <v>22</v>
      </c>
      <c r="B23" t="s">
        <v>51</v>
      </c>
      <c r="C23" t="str">
        <f t="shared" si="0"/>
        <v>00022彪</v>
      </c>
      <c r="D23" t="str">
        <f t="shared" si="1"/>
        <v>022-piu55</v>
      </c>
      <c r="E23">
        <v>22</v>
      </c>
      <c r="F23" t="s">
        <v>51</v>
      </c>
      <c r="G23" t="s">
        <v>52</v>
      </c>
    </row>
    <row r="24" spans="1:7" x14ac:dyDescent="0.2">
      <c r="A24">
        <v>23</v>
      </c>
      <c r="B24" t="s">
        <v>53</v>
      </c>
      <c r="C24" t="str">
        <f t="shared" si="0"/>
        <v>00023面~~</v>
      </c>
      <c r="D24" t="str">
        <f t="shared" si="1"/>
        <v>023-iu55</v>
      </c>
      <c r="E24">
        <v>23</v>
      </c>
      <c r="F24" t="s">
        <v>54</v>
      </c>
      <c r="G24" t="s">
        <v>55</v>
      </c>
    </row>
    <row r="25" spans="1:7" x14ac:dyDescent="0.2">
      <c r="A25">
        <v>24</v>
      </c>
      <c r="B25" t="s">
        <v>56</v>
      </c>
      <c r="C25" t="str">
        <f t="shared" si="0"/>
        <v>00024追</v>
      </c>
      <c r="D25" t="str">
        <f t="shared" si="1"/>
        <v>024-tui55</v>
      </c>
      <c r="E25">
        <v>24</v>
      </c>
      <c r="F25" t="s">
        <v>56</v>
      </c>
      <c r="G25" t="s">
        <v>57</v>
      </c>
    </row>
    <row r="26" spans="1:7" x14ac:dyDescent="0.2">
      <c r="A26">
        <v>25</v>
      </c>
      <c r="B26" t="s">
        <v>58</v>
      </c>
      <c r="C26" t="str">
        <f t="shared" si="0"/>
        <v>00025威</v>
      </c>
      <c r="D26" t="str">
        <f t="shared" si="1"/>
        <v>025-ui55</v>
      </c>
      <c r="E26">
        <v>25</v>
      </c>
      <c r="F26" t="s">
        <v>58</v>
      </c>
      <c r="G26" t="s">
        <v>59</v>
      </c>
    </row>
    <row r="27" spans="1:7" x14ac:dyDescent="0.2">
      <c r="A27">
        <v>26</v>
      </c>
      <c r="B27" t="s">
        <v>60</v>
      </c>
      <c r="C27" t="str">
        <f t="shared" si="0"/>
        <v>00026呆</v>
      </c>
      <c r="D27" t="str">
        <f t="shared" si="1"/>
        <v>026-tai55</v>
      </c>
      <c r="E27">
        <v>26</v>
      </c>
      <c r="F27" t="s">
        <v>60</v>
      </c>
      <c r="G27" t="s">
        <v>61</v>
      </c>
    </row>
    <row r="28" spans="1:7" x14ac:dyDescent="0.2">
      <c r="A28">
        <v>27</v>
      </c>
      <c r="B28" t="s">
        <v>62</v>
      </c>
      <c r="C28" t="str">
        <f t="shared" si="0"/>
        <v>00027哀</v>
      </c>
      <c r="D28" t="str">
        <f t="shared" si="1"/>
        <v>027-ai55</v>
      </c>
      <c r="E28">
        <v>27</v>
      </c>
      <c r="F28" t="s">
        <v>62</v>
      </c>
      <c r="G28" t="s">
        <v>63</v>
      </c>
    </row>
    <row r="29" spans="1:7" x14ac:dyDescent="0.2">
      <c r="A29">
        <v>28</v>
      </c>
      <c r="B29" t="s">
        <v>64</v>
      </c>
      <c r="C29" t="str">
        <f t="shared" si="0"/>
        <v>00028乖</v>
      </c>
      <c r="D29" t="str">
        <f t="shared" si="1"/>
        <v>028-kuai55</v>
      </c>
      <c r="E29">
        <v>28</v>
      </c>
      <c r="F29" t="s">
        <v>64</v>
      </c>
      <c r="G29" t="s">
        <v>65</v>
      </c>
    </row>
    <row r="30" spans="1:7" x14ac:dyDescent="0.2">
      <c r="A30">
        <v>29</v>
      </c>
      <c r="B30" t="s">
        <v>66</v>
      </c>
      <c r="C30" t="str">
        <f t="shared" si="0"/>
        <v>00029歪</v>
      </c>
      <c r="D30" t="str">
        <f t="shared" si="1"/>
        <v>029-uai55</v>
      </c>
      <c r="E30">
        <v>29</v>
      </c>
      <c r="F30" t="s">
        <v>66</v>
      </c>
      <c r="G30" t="s">
        <v>67</v>
      </c>
    </row>
    <row r="31" spans="1:7" x14ac:dyDescent="0.2">
      <c r="A31">
        <v>30</v>
      </c>
      <c r="B31" t="s">
        <v>68</v>
      </c>
      <c r="C31" t="str">
        <f t="shared" si="0"/>
        <v>00030包</v>
      </c>
      <c r="D31" t="str">
        <f t="shared" si="1"/>
        <v>030-pau55</v>
      </c>
      <c r="E31">
        <v>30</v>
      </c>
      <c r="F31" t="s">
        <v>68</v>
      </c>
      <c r="G31" t="s">
        <v>69</v>
      </c>
    </row>
    <row r="32" spans="1:7" x14ac:dyDescent="0.2">
      <c r="A32">
        <v>31</v>
      </c>
      <c r="B32" t="s">
        <v>70</v>
      </c>
      <c r="C32" t="str">
        <f t="shared" si="0"/>
        <v>00031瓯</v>
      </c>
      <c r="D32" t="str">
        <f t="shared" si="1"/>
        <v>031-au55</v>
      </c>
      <c r="E32">
        <v>31</v>
      </c>
      <c r="F32" t="s">
        <v>70</v>
      </c>
      <c r="G32" t="s">
        <v>71</v>
      </c>
    </row>
    <row r="33" spans="1:7" x14ac:dyDescent="0.2">
      <c r="A33">
        <v>32</v>
      </c>
      <c r="B33" t="s">
        <v>73</v>
      </c>
      <c r="C33" t="str">
        <f t="shared" si="0"/>
        <v>00032~准</v>
      </c>
      <c r="D33" t="str">
        <f t="shared" si="1"/>
        <v>032-piau55</v>
      </c>
      <c r="E33">
        <v>32</v>
      </c>
      <c r="F33" t="s">
        <v>72</v>
      </c>
      <c r="G33" t="s">
        <v>74</v>
      </c>
    </row>
    <row r="34" spans="1:7" x14ac:dyDescent="0.2">
      <c r="A34">
        <v>33</v>
      </c>
      <c r="B34" t="s">
        <v>75</v>
      </c>
      <c r="C34" t="str">
        <f t="shared" si="0"/>
        <v>00033妖</v>
      </c>
      <c r="D34" t="str">
        <f t="shared" si="1"/>
        <v>033-iau55</v>
      </c>
      <c r="E34">
        <v>33</v>
      </c>
      <c r="F34" t="s">
        <v>75</v>
      </c>
      <c r="G34" t="s">
        <v>76</v>
      </c>
    </row>
    <row r="35" spans="1:7" x14ac:dyDescent="0.2">
      <c r="A35">
        <v>34</v>
      </c>
      <c r="B35" t="s">
        <v>79</v>
      </c>
      <c r="C35" t="str">
        <f t="shared" si="0"/>
        <v>00034~人</v>
      </c>
      <c r="D35" t="str">
        <f t="shared" si="1"/>
        <v>155-hm24</v>
      </c>
      <c r="E35">
        <v>155</v>
      </c>
      <c r="F35" t="s">
        <v>78</v>
      </c>
      <c r="G35" t="s">
        <v>77</v>
      </c>
    </row>
    <row r="36" spans="1:7" x14ac:dyDescent="0.2">
      <c r="A36">
        <v>35</v>
      </c>
      <c r="B36" t="s">
        <v>81</v>
      </c>
      <c r="C36" t="str">
        <f t="shared" si="0"/>
        <v>00035杨~</v>
      </c>
      <c r="D36" t="str">
        <f t="shared" si="1"/>
        <v>156-m24</v>
      </c>
      <c r="E36">
        <v>156</v>
      </c>
      <c r="F36" t="s">
        <v>80</v>
      </c>
      <c r="G36" t="s">
        <v>82</v>
      </c>
    </row>
    <row r="37" spans="1:7" x14ac:dyDescent="0.2">
      <c r="A37">
        <v>36</v>
      </c>
      <c r="B37" t="s">
        <v>83</v>
      </c>
      <c r="C37" t="str">
        <f t="shared" si="0"/>
        <v>00036吻</v>
      </c>
      <c r="D37" t="str">
        <f t="shared" si="1"/>
        <v>086-tsim55</v>
      </c>
      <c r="E37">
        <v>86</v>
      </c>
      <c r="F37" t="s">
        <v>83</v>
      </c>
      <c r="G37" t="s">
        <v>84</v>
      </c>
    </row>
    <row r="38" spans="1:7" x14ac:dyDescent="0.2">
      <c r="A38">
        <v>37</v>
      </c>
      <c r="B38" t="s">
        <v>85</v>
      </c>
      <c r="C38" t="str">
        <f t="shared" si="0"/>
        <v>00037音</v>
      </c>
      <c r="D38" t="str">
        <f t="shared" si="1"/>
        <v>087-im55</v>
      </c>
      <c r="E38">
        <v>87</v>
      </c>
      <c r="F38" t="s">
        <v>85</v>
      </c>
      <c r="G38" t="s">
        <v>86</v>
      </c>
    </row>
    <row r="39" spans="1:7" x14ac:dyDescent="0.2">
      <c r="A39">
        <v>38</v>
      </c>
      <c r="B39" t="s">
        <v>89</v>
      </c>
      <c r="C39" t="str">
        <f t="shared" si="0"/>
        <v>00038~当</v>
      </c>
      <c r="D39" t="str">
        <f t="shared" si="1"/>
        <v>088-tam55</v>
      </c>
      <c r="E39">
        <v>88</v>
      </c>
      <c r="F39" t="s">
        <v>87</v>
      </c>
      <c r="G39" t="s">
        <v>88</v>
      </c>
    </row>
    <row r="40" spans="1:7" x14ac:dyDescent="0.2">
      <c r="A40">
        <v>39</v>
      </c>
      <c r="B40" t="s">
        <v>90</v>
      </c>
      <c r="C40" t="str">
        <f t="shared" si="0"/>
        <v>00039庵</v>
      </c>
      <c r="D40" t="str">
        <f t="shared" si="1"/>
        <v>089-am55</v>
      </c>
      <c r="E40">
        <v>89</v>
      </c>
      <c r="F40" t="s">
        <v>90</v>
      </c>
      <c r="G40" t="s">
        <v>91</v>
      </c>
    </row>
    <row r="41" spans="1:7" x14ac:dyDescent="0.2">
      <c r="A41">
        <v>40</v>
      </c>
      <c r="B41" t="s">
        <v>92</v>
      </c>
      <c r="C41" t="str">
        <f t="shared" si="0"/>
        <v>00040砧</v>
      </c>
      <c r="D41" t="str">
        <f t="shared" si="1"/>
        <v>090-tiam55</v>
      </c>
      <c r="E41">
        <v>90</v>
      </c>
      <c r="F41" t="s">
        <v>92</v>
      </c>
      <c r="G41" t="s">
        <v>93</v>
      </c>
    </row>
    <row r="42" spans="1:7" x14ac:dyDescent="0.2">
      <c r="A42">
        <v>41</v>
      </c>
      <c r="B42" t="s">
        <v>94</v>
      </c>
      <c r="C42" t="str">
        <f t="shared" si="0"/>
        <v>00041阉</v>
      </c>
      <c r="D42" t="str">
        <f t="shared" si="1"/>
        <v>091-iam55</v>
      </c>
      <c r="E42">
        <v>91</v>
      </c>
      <c r="F42" t="s">
        <v>94</v>
      </c>
      <c r="G42" t="s">
        <v>95</v>
      </c>
    </row>
    <row r="43" spans="1:7" x14ac:dyDescent="0.2">
      <c r="A43">
        <v>42</v>
      </c>
      <c r="B43" t="s">
        <v>96</v>
      </c>
      <c r="C43" t="str">
        <f t="shared" si="0"/>
        <v>00042宾</v>
      </c>
      <c r="D43" t="str">
        <f t="shared" si="1"/>
        <v>092-pin55</v>
      </c>
      <c r="E43">
        <v>92</v>
      </c>
      <c r="F43" t="s">
        <v>96</v>
      </c>
      <c r="G43" t="s">
        <v>97</v>
      </c>
    </row>
    <row r="44" spans="1:7" x14ac:dyDescent="0.2">
      <c r="A44">
        <v>43</v>
      </c>
      <c r="B44" t="s">
        <v>98</v>
      </c>
      <c r="C44" t="str">
        <f t="shared" si="0"/>
        <v>00043因</v>
      </c>
      <c r="D44" t="str">
        <f t="shared" si="1"/>
        <v>093-in55</v>
      </c>
      <c r="E44">
        <v>93</v>
      </c>
      <c r="F44" t="s">
        <v>98</v>
      </c>
      <c r="G44" t="s">
        <v>99</v>
      </c>
    </row>
    <row r="45" spans="1:7" x14ac:dyDescent="0.2">
      <c r="A45">
        <v>44</v>
      </c>
      <c r="B45" t="s">
        <v>102</v>
      </c>
      <c r="C45" t="str">
        <f t="shared" si="0"/>
        <v>00044~开</v>
      </c>
      <c r="D45" t="str">
        <f t="shared" si="1"/>
        <v>094-pun55</v>
      </c>
      <c r="E45">
        <v>94</v>
      </c>
      <c r="F45" t="s">
        <v>100</v>
      </c>
      <c r="G45" t="s">
        <v>101</v>
      </c>
    </row>
    <row r="46" spans="1:7" x14ac:dyDescent="0.2">
      <c r="A46">
        <v>45</v>
      </c>
      <c r="B46" t="s">
        <v>103</v>
      </c>
      <c r="C46" t="str">
        <f t="shared" si="0"/>
        <v>00045~州</v>
      </c>
      <c r="D46" t="str">
        <f t="shared" si="1"/>
        <v>095-un55</v>
      </c>
      <c r="E46">
        <v>95</v>
      </c>
      <c r="F46" t="s">
        <v>104</v>
      </c>
      <c r="G46" t="s">
        <v>105</v>
      </c>
    </row>
    <row r="47" spans="1:7" x14ac:dyDescent="0.2">
      <c r="A47">
        <v>46</v>
      </c>
      <c r="B47" t="s">
        <v>106</v>
      </c>
      <c r="C47" t="str">
        <f t="shared" si="0"/>
        <v>00046班</v>
      </c>
      <c r="D47" t="str">
        <f t="shared" si="1"/>
        <v>096-pan55</v>
      </c>
      <c r="E47">
        <v>96</v>
      </c>
      <c r="F47" t="s">
        <v>106</v>
      </c>
      <c r="G47" t="s">
        <v>107</v>
      </c>
    </row>
    <row r="48" spans="1:7" x14ac:dyDescent="0.2">
      <c r="A48">
        <v>47</v>
      </c>
      <c r="B48" t="s">
        <v>108</v>
      </c>
      <c r="C48" t="str">
        <f t="shared" si="0"/>
        <v>00047安</v>
      </c>
      <c r="D48" t="str">
        <f t="shared" si="1"/>
        <v>097-an55</v>
      </c>
      <c r="E48">
        <v>97</v>
      </c>
      <c r="F48" t="s">
        <v>108</v>
      </c>
      <c r="G48" t="s">
        <v>109</v>
      </c>
    </row>
    <row r="49" spans="1:7" x14ac:dyDescent="0.2">
      <c r="A49">
        <v>48</v>
      </c>
      <c r="B49" t="s">
        <v>110</v>
      </c>
      <c r="C49" t="str">
        <f t="shared" si="0"/>
        <v>00048鞭</v>
      </c>
      <c r="D49" t="str">
        <f t="shared" si="1"/>
        <v>098-pian55</v>
      </c>
      <c r="E49">
        <v>98</v>
      </c>
      <c r="F49" t="s">
        <v>110</v>
      </c>
      <c r="G49" t="s">
        <v>111</v>
      </c>
    </row>
    <row r="50" spans="1:7" x14ac:dyDescent="0.2">
      <c r="A50">
        <v>49</v>
      </c>
      <c r="B50" t="s">
        <v>112</v>
      </c>
      <c r="C50" t="str">
        <f t="shared" si="0"/>
        <v>00049烟</v>
      </c>
      <c r="D50" t="str">
        <f t="shared" si="1"/>
        <v>099-ian55</v>
      </c>
      <c r="E50">
        <v>99</v>
      </c>
      <c r="F50" t="s">
        <v>112</v>
      </c>
      <c r="G50" t="s">
        <v>113</v>
      </c>
    </row>
    <row r="51" spans="1:7" x14ac:dyDescent="0.2">
      <c r="A51">
        <v>50</v>
      </c>
      <c r="B51" t="s">
        <v>114</v>
      </c>
      <c r="C51" t="str">
        <f t="shared" si="0"/>
        <v>00050端</v>
      </c>
      <c r="D51" t="str">
        <f t="shared" si="1"/>
        <v>100-tuan55</v>
      </c>
      <c r="E51">
        <v>100</v>
      </c>
      <c r="F51" t="s">
        <v>114</v>
      </c>
      <c r="G51" t="s">
        <v>115</v>
      </c>
    </row>
    <row r="52" spans="1:7" x14ac:dyDescent="0.2">
      <c r="A52">
        <v>51</v>
      </c>
      <c r="B52" t="s">
        <v>116</v>
      </c>
      <c r="C52" t="str">
        <f t="shared" si="0"/>
        <v>00051弯</v>
      </c>
      <c r="D52" t="str">
        <f t="shared" si="1"/>
        <v>101-uan55</v>
      </c>
      <c r="E52">
        <v>101</v>
      </c>
      <c r="F52" t="s">
        <v>116</v>
      </c>
      <c r="G52" t="s">
        <v>117</v>
      </c>
    </row>
    <row r="53" spans="1:7" x14ac:dyDescent="0.2">
      <c r="A53">
        <v>52</v>
      </c>
      <c r="B53" t="s">
        <v>120</v>
      </c>
      <c r="C53" t="str">
        <f t="shared" si="0"/>
        <v>00052姓</v>
      </c>
      <c r="D53" t="str">
        <f t="shared" si="1"/>
        <v>102-png55</v>
      </c>
      <c r="E53">
        <v>102</v>
      </c>
      <c r="F53" t="s">
        <v>118</v>
      </c>
      <c r="G53" t="s">
        <v>119</v>
      </c>
    </row>
    <row r="54" spans="1:7" x14ac:dyDescent="0.2">
      <c r="A54">
        <v>53</v>
      </c>
      <c r="B54" t="s">
        <v>121</v>
      </c>
      <c r="C54" t="str">
        <f t="shared" si="0"/>
        <v>00053双手掩盖</v>
      </c>
      <c r="D54" t="str">
        <f t="shared" si="1"/>
        <v>103-ng55</v>
      </c>
      <c r="E54">
        <v>103</v>
      </c>
      <c r="F54" t="s">
        <v>50</v>
      </c>
      <c r="G54" t="s">
        <v>122</v>
      </c>
    </row>
    <row r="55" spans="1:7" x14ac:dyDescent="0.2">
      <c r="A55">
        <v>54</v>
      </c>
      <c r="B55" t="s">
        <v>123</v>
      </c>
      <c r="C55" t="str">
        <f t="shared" si="0"/>
        <v>00054冰</v>
      </c>
      <c r="D55" t="str">
        <f t="shared" si="1"/>
        <v>104-ping55</v>
      </c>
      <c r="E55">
        <v>104</v>
      </c>
      <c r="F55" t="s">
        <v>123</v>
      </c>
      <c r="G55" t="s">
        <v>124</v>
      </c>
    </row>
    <row r="56" spans="1:7" x14ac:dyDescent="0.2">
      <c r="A56">
        <v>55</v>
      </c>
      <c r="B56" t="s">
        <v>126</v>
      </c>
      <c r="C56" t="str">
        <f t="shared" si="0"/>
        <v>00055英</v>
      </c>
      <c r="D56" t="str">
        <f t="shared" si="1"/>
        <v>105-ing55</v>
      </c>
      <c r="E56">
        <v>105</v>
      </c>
      <c r="F56" t="s">
        <v>126</v>
      </c>
      <c r="G56" t="s">
        <v>125</v>
      </c>
    </row>
    <row r="57" spans="1:7" x14ac:dyDescent="0.2">
      <c r="A57">
        <v>56</v>
      </c>
      <c r="B57" t="s">
        <v>127</v>
      </c>
      <c r="C57" t="str">
        <f t="shared" si="0"/>
        <v>00056邦</v>
      </c>
      <c r="D57" t="str">
        <f t="shared" si="1"/>
        <v>106-pang55</v>
      </c>
      <c r="E57">
        <v>106</v>
      </c>
      <c r="F57" t="s">
        <v>127</v>
      </c>
      <c r="G57" t="s">
        <v>128</v>
      </c>
    </row>
    <row r="58" spans="1:7" x14ac:dyDescent="0.2">
      <c r="A58">
        <v>57</v>
      </c>
      <c r="B58" t="s">
        <v>131</v>
      </c>
      <c r="C58" t="str">
        <f t="shared" si="0"/>
        <v>00057老公</v>
      </c>
      <c r="D58" t="str">
        <f t="shared" si="1"/>
        <v>107-ang55</v>
      </c>
      <c r="E58">
        <v>107</v>
      </c>
      <c r="F58" t="s">
        <v>130</v>
      </c>
      <c r="G58" t="s">
        <v>129</v>
      </c>
    </row>
    <row r="59" spans="1:7" x14ac:dyDescent="0.2">
      <c r="A59">
        <v>58</v>
      </c>
      <c r="B59" t="s">
        <v>132</v>
      </c>
      <c r="C59" t="str">
        <f t="shared" si="0"/>
        <v>00058漳</v>
      </c>
      <c r="D59" t="str">
        <f t="shared" si="1"/>
        <v>108-tsiang55</v>
      </c>
      <c r="E59">
        <v>108</v>
      </c>
      <c r="F59" t="s">
        <v>132</v>
      </c>
      <c r="G59" t="s">
        <v>133</v>
      </c>
    </row>
    <row r="60" spans="1:7" x14ac:dyDescent="0.2">
      <c r="A60">
        <v>59</v>
      </c>
      <c r="B60" t="s">
        <v>136</v>
      </c>
      <c r="C60" t="str">
        <f t="shared" si="0"/>
        <v>00059~求</v>
      </c>
      <c r="D60" t="str">
        <f t="shared" si="1"/>
        <v>109-iang55</v>
      </c>
      <c r="E60">
        <v>109</v>
      </c>
      <c r="F60" t="s">
        <v>134</v>
      </c>
      <c r="G60" t="s">
        <v>135</v>
      </c>
    </row>
    <row r="61" spans="1:7" x14ac:dyDescent="0.2">
      <c r="A61">
        <v>60</v>
      </c>
      <c r="B61" t="s">
        <v>137</v>
      </c>
      <c r="C61" t="str">
        <f t="shared" si="0"/>
        <v>00060东</v>
      </c>
      <c r="D61" t="str">
        <f t="shared" si="1"/>
        <v>110-tOng55</v>
      </c>
      <c r="E61">
        <v>110</v>
      </c>
      <c r="F61" t="s">
        <v>137</v>
      </c>
      <c r="G61" t="s">
        <v>495</v>
      </c>
    </row>
    <row r="62" spans="1:7" x14ac:dyDescent="0.2">
      <c r="A62">
        <v>61</v>
      </c>
      <c r="B62" t="s">
        <v>138</v>
      </c>
      <c r="C62" t="str">
        <f t="shared" si="0"/>
        <v>00061汪</v>
      </c>
      <c r="D62" t="str">
        <f t="shared" si="1"/>
        <v>111-Ong55</v>
      </c>
      <c r="E62">
        <v>111</v>
      </c>
      <c r="F62" t="s">
        <v>138</v>
      </c>
      <c r="G62" t="s">
        <v>496</v>
      </c>
    </row>
    <row r="63" spans="1:7" x14ac:dyDescent="0.2">
      <c r="A63">
        <v>62</v>
      </c>
      <c r="B63" t="s">
        <v>139</v>
      </c>
      <c r="C63" t="str">
        <f t="shared" si="0"/>
        <v>00062忠</v>
      </c>
      <c r="D63" t="str">
        <f t="shared" si="1"/>
        <v>112-tiOng55</v>
      </c>
      <c r="E63">
        <v>112</v>
      </c>
      <c r="F63" t="s">
        <v>139</v>
      </c>
      <c r="G63" t="s">
        <v>497</v>
      </c>
    </row>
    <row r="64" spans="1:7" x14ac:dyDescent="0.2">
      <c r="A64">
        <v>63</v>
      </c>
      <c r="B64" t="s">
        <v>140</v>
      </c>
      <c r="C64" t="str">
        <f t="shared" si="0"/>
        <v>00063中~</v>
      </c>
      <c r="D64" t="str">
        <f t="shared" si="1"/>
        <v>113-iOng55</v>
      </c>
      <c r="E64">
        <v>113</v>
      </c>
      <c r="F64" t="s">
        <v>134</v>
      </c>
      <c r="G64" t="s">
        <v>498</v>
      </c>
    </row>
    <row r="65" spans="1:7" x14ac:dyDescent="0.2">
      <c r="A65">
        <v>64</v>
      </c>
      <c r="B65" t="s">
        <v>141</v>
      </c>
      <c r="C65" t="str">
        <f t="shared" si="0"/>
        <v>00064边</v>
      </c>
      <c r="D65" t="str">
        <f t="shared" si="1"/>
        <v>114-piN55</v>
      </c>
      <c r="E65">
        <v>114</v>
      </c>
      <c r="F65" t="s">
        <v>141</v>
      </c>
      <c r="G65" t="s">
        <v>142</v>
      </c>
    </row>
    <row r="66" spans="1:7" x14ac:dyDescent="0.2">
      <c r="A66">
        <v>65</v>
      </c>
      <c r="B66" t="s">
        <v>143</v>
      </c>
      <c r="C66" t="str">
        <f t="shared" si="0"/>
        <v>00065婴</v>
      </c>
      <c r="D66" t="str">
        <f t="shared" si="1"/>
        <v>115-iN55</v>
      </c>
      <c r="E66">
        <v>115</v>
      </c>
      <c r="F66" t="s">
        <v>143</v>
      </c>
      <c r="G66" t="s">
        <v>144</v>
      </c>
    </row>
    <row r="67" spans="1:7" x14ac:dyDescent="0.2">
      <c r="A67">
        <v>66</v>
      </c>
      <c r="B67" t="s">
        <v>145</v>
      </c>
      <c r="C67" t="str">
        <f t="shared" ref="C67:C130" si="2">_xlfn.CONCAT(TEXT(A67, "00000"), B67)</f>
        <v>00066动作</v>
      </c>
      <c r="D67" t="str">
        <f t="shared" ref="D67:D130" si="3">_xlfn.CONCAT(TEXT(E67, "000"), "-", G67)</f>
        <v>116-taN55</v>
      </c>
      <c r="E67">
        <v>116</v>
      </c>
      <c r="F67" t="s">
        <v>87</v>
      </c>
      <c r="G67" t="s">
        <v>146</v>
      </c>
    </row>
    <row r="68" spans="1:7" x14ac:dyDescent="0.2">
      <c r="A68">
        <v>67</v>
      </c>
      <c r="B68" t="s">
        <v>147</v>
      </c>
      <c r="C68" t="str">
        <f t="shared" si="2"/>
        <v>00067馅</v>
      </c>
      <c r="D68" t="str">
        <f t="shared" si="3"/>
        <v>117-aN22</v>
      </c>
      <c r="E68">
        <v>117</v>
      </c>
      <c r="F68" t="s">
        <v>147</v>
      </c>
      <c r="G68" t="s">
        <v>148</v>
      </c>
    </row>
    <row r="69" spans="1:7" x14ac:dyDescent="0.2">
      <c r="A69">
        <v>68</v>
      </c>
      <c r="B69" t="s">
        <v>150</v>
      </c>
      <c r="C69" t="str">
        <f t="shared" si="2"/>
        <v>00068用力砸过去</v>
      </c>
      <c r="D69" t="str">
        <f t="shared" si="3"/>
        <v>118-piaN55</v>
      </c>
      <c r="E69">
        <v>118</v>
      </c>
      <c r="F69" t="s">
        <v>149</v>
      </c>
      <c r="G69" t="s">
        <v>151</v>
      </c>
    </row>
    <row r="70" spans="1:7" x14ac:dyDescent="0.2">
      <c r="A70">
        <v>69</v>
      </c>
      <c r="B70" t="s">
        <v>154</v>
      </c>
      <c r="C70" t="str">
        <f t="shared" si="2"/>
        <v>00069红~</v>
      </c>
      <c r="D70" t="str">
        <f t="shared" si="3"/>
        <v>119-iaN55</v>
      </c>
      <c r="E70">
        <v>119</v>
      </c>
      <c r="F70" t="s">
        <v>152</v>
      </c>
      <c r="G70" t="s">
        <v>153</v>
      </c>
    </row>
    <row r="71" spans="1:7" x14ac:dyDescent="0.2">
      <c r="A71">
        <v>70</v>
      </c>
      <c r="B71" t="s">
        <v>155</v>
      </c>
      <c r="C71" t="str">
        <f t="shared" si="2"/>
        <v>00070搬</v>
      </c>
      <c r="D71" t="str">
        <f t="shared" si="3"/>
        <v>120-puaN55</v>
      </c>
      <c r="E71">
        <v>120</v>
      </c>
      <c r="F71" t="s">
        <v>155</v>
      </c>
      <c r="G71" t="s">
        <v>156</v>
      </c>
    </row>
    <row r="72" spans="1:7" x14ac:dyDescent="0.2">
      <c r="A72">
        <v>71</v>
      </c>
      <c r="B72" t="s">
        <v>158</v>
      </c>
      <c r="C72" t="str">
        <f t="shared" si="2"/>
        <v>00071同~</v>
      </c>
      <c r="D72" t="str">
        <f t="shared" si="3"/>
        <v>121-uaN55</v>
      </c>
      <c r="E72">
        <v>121</v>
      </c>
      <c r="F72" t="s">
        <v>108</v>
      </c>
      <c r="G72" t="s">
        <v>157</v>
      </c>
    </row>
    <row r="73" spans="1:7" x14ac:dyDescent="0.2">
      <c r="A73">
        <v>72</v>
      </c>
      <c r="B73" t="s">
        <v>159</v>
      </c>
      <c r="C73" t="str">
        <f t="shared" si="2"/>
        <v>00072妹</v>
      </c>
      <c r="D73" t="str">
        <f t="shared" si="3"/>
        <v>122-meN24</v>
      </c>
      <c r="E73">
        <v>122</v>
      </c>
      <c r="F73" t="s">
        <v>159</v>
      </c>
      <c r="G73" t="s">
        <v>160</v>
      </c>
    </row>
    <row r="74" spans="1:7" x14ac:dyDescent="0.2">
      <c r="A74">
        <v>73</v>
      </c>
      <c r="B74" t="s">
        <v>143</v>
      </c>
      <c r="C74" t="str">
        <f t="shared" si="2"/>
        <v>00073婴</v>
      </c>
      <c r="D74" t="str">
        <f t="shared" si="3"/>
        <v>123-eN55</v>
      </c>
      <c r="E74">
        <v>123</v>
      </c>
      <c r="F74" t="s">
        <v>143</v>
      </c>
      <c r="G74" t="s">
        <v>161</v>
      </c>
    </row>
    <row r="75" spans="1:7" x14ac:dyDescent="0.2">
      <c r="A75">
        <v>74</v>
      </c>
      <c r="B75" t="s">
        <v>162</v>
      </c>
      <c r="C75" t="str">
        <f t="shared" si="2"/>
        <v>00074张</v>
      </c>
      <c r="D75" t="str">
        <f t="shared" si="3"/>
        <v>124-tiuN55</v>
      </c>
      <c r="E75">
        <v>124</v>
      </c>
      <c r="F75" t="s">
        <v>162</v>
      </c>
      <c r="G75" t="s">
        <v>163</v>
      </c>
    </row>
    <row r="76" spans="1:7" x14ac:dyDescent="0.2">
      <c r="A76">
        <v>75</v>
      </c>
      <c r="B76" t="s">
        <v>165</v>
      </c>
      <c r="C76" t="str">
        <f t="shared" si="2"/>
        <v>00075鸳~</v>
      </c>
      <c r="D76" t="str">
        <f t="shared" si="3"/>
        <v>125-iuN55</v>
      </c>
      <c r="E76">
        <v>125</v>
      </c>
      <c r="F76" t="s">
        <v>164</v>
      </c>
      <c r="G76" t="s">
        <v>458</v>
      </c>
    </row>
    <row r="77" spans="1:7" x14ac:dyDescent="0.2">
      <c r="A77">
        <v>76</v>
      </c>
      <c r="B77" t="s">
        <v>166</v>
      </c>
      <c r="C77" t="str">
        <f t="shared" si="2"/>
        <v>00076煤</v>
      </c>
      <c r="D77" t="str">
        <f t="shared" si="3"/>
        <v>126-muiN24</v>
      </c>
      <c r="E77">
        <v>126</v>
      </c>
      <c r="F77" t="s">
        <v>166</v>
      </c>
      <c r="G77" t="s">
        <v>167</v>
      </c>
    </row>
    <row r="78" spans="1:7" x14ac:dyDescent="0.2">
      <c r="A78">
        <v>77</v>
      </c>
      <c r="B78" t="s">
        <v>170</v>
      </c>
      <c r="C78" t="str">
        <f t="shared" si="2"/>
        <v>00077~活：轻松</v>
      </c>
      <c r="D78" t="str">
        <f t="shared" si="3"/>
        <v>127-kuiN21</v>
      </c>
      <c r="E78">
        <v>127</v>
      </c>
      <c r="F78" t="s">
        <v>168</v>
      </c>
      <c r="G78" t="s">
        <v>169</v>
      </c>
    </row>
    <row r="79" spans="1:7" x14ac:dyDescent="0.2">
      <c r="A79">
        <v>78</v>
      </c>
      <c r="B79" t="s">
        <v>171</v>
      </c>
      <c r="C79" t="str">
        <f t="shared" si="2"/>
        <v>00078跛</v>
      </c>
      <c r="D79" t="str">
        <f t="shared" si="3"/>
        <v>128-paiN53</v>
      </c>
      <c r="E79">
        <v>128</v>
      </c>
      <c r="F79" t="s">
        <v>171</v>
      </c>
      <c r="G79" t="s">
        <v>172</v>
      </c>
    </row>
    <row r="80" spans="1:7" x14ac:dyDescent="0.2">
      <c r="A80">
        <v>79</v>
      </c>
      <c r="B80" t="s">
        <v>173</v>
      </c>
      <c r="C80" t="str">
        <f t="shared" si="2"/>
        <v>00079指</v>
      </c>
      <c r="D80" t="str">
        <f t="shared" si="3"/>
        <v>129-tsaiN53</v>
      </c>
      <c r="E80">
        <v>129</v>
      </c>
      <c r="F80" t="s">
        <v>173</v>
      </c>
      <c r="G80" t="s">
        <v>174</v>
      </c>
    </row>
    <row r="81" spans="1:7" x14ac:dyDescent="0.2">
      <c r="A81">
        <v>80</v>
      </c>
      <c r="B81" t="s">
        <v>175</v>
      </c>
      <c r="C81" t="str">
        <f t="shared" si="2"/>
        <v>00080还</v>
      </c>
      <c r="D81" t="str">
        <f t="shared" si="3"/>
        <v>130-haiN24</v>
      </c>
      <c r="E81">
        <v>130</v>
      </c>
      <c r="F81" t="s">
        <v>175</v>
      </c>
      <c r="G81" t="s">
        <v>176</v>
      </c>
    </row>
    <row r="82" spans="1:7" x14ac:dyDescent="0.2">
      <c r="A82">
        <v>81</v>
      </c>
      <c r="B82" t="s">
        <v>177</v>
      </c>
      <c r="C82" t="str">
        <f t="shared" si="2"/>
        <v>00081关</v>
      </c>
      <c r="D82" t="str">
        <f t="shared" si="3"/>
        <v>131-kuaiN55</v>
      </c>
      <c r="E82">
        <v>131</v>
      </c>
      <c r="F82" t="s">
        <v>177</v>
      </c>
      <c r="G82" t="s">
        <v>178</v>
      </c>
    </row>
    <row r="83" spans="1:7" x14ac:dyDescent="0.2">
      <c r="A83">
        <v>82</v>
      </c>
      <c r="B83" t="s">
        <v>179</v>
      </c>
      <c r="C83" t="str">
        <f t="shared" si="2"/>
        <v>00082象声词</v>
      </c>
      <c r="D83" t="str">
        <f t="shared" si="3"/>
        <v>132-uaiN55</v>
      </c>
      <c r="E83">
        <v>132</v>
      </c>
      <c r="F83" t="s">
        <v>50</v>
      </c>
      <c r="G83" t="s">
        <v>180</v>
      </c>
    </row>
    <row r="84" spans="1:7" x14ac:dyDescent="0.2">
      <c r="A84">
        <v>83</v>
      </c>
      <c r="B84" t="s">
        <v>181</v>
      </c>
      <c r="C84" t="str">
        <f t="shared" si="2"/>
        <v>00083貌</v>
      </c>
      <c r="D84" t="str">
        <f t="shared" si="3"/>
        <v>133-mauN22</v>
      </c>
      <c r="E84">
        <v>133</v>
      </c>
      <c r="F84" t="s">
        <v>181</v>
      </c>
      <c r="G84" t="s">
        <v>184</v>
      </c>
    </row>
    <row r="85" spans="1:7" x14ac:dyDescent="0.2">
      <c r="A85">
        <v>84</v>
      </c>
      <c r="B85" t="s">
        <v>182</v>
      </c>
      <c r="C85" t="str">
        <f t="shared" si="2"/>
        <v>00084闹</v>
      </c>
      <c r="D85" t="str">
        <f t="shared" si="3"/>
        <v>134-nauN22</v>
      </c>
      <c r="E85">
        <v>134</v>
      </c>
      <c r="F85" t="s">
        <v>182</v>
      </c>
      <c r="G85" t="s">
        <v>183</v>
      </c>
    </row>
    <row r="86" spans="1:7" x14ac:dyDescent="0.2">
      <c r="A86">
        <v>85</v>
      </c>
      <c r="B86" t="s">
        <v>185</v>
      </c>
      <c r="C86" t="str">
        <f t="shared" si="2"/>
        <v>00085藕</v>
      </c>
      <c r="D86" t="str">
        <f t="shared" si="3"/>
        <v>135-ngauN22</v>
      </c>
      <c r="E86">
        <v>135</v>
      </c>
      <c r="F86" t="s">
        <v>185</v>
      </c>
      <c r="G86" t="s">
        <v>186</v>
      </c>
    </row>
    <row r="87" spans="1:7" x14ac:dyDescent="0.2">
      <c r="A87">
        <v>86</v>
      </c>
      <c r="B87" t="s">
        <v>187</v>
      </c>
      <c r="C87" t="str">
        <f t="shared" si="2"/>
        <v>00086猫</v>
      </c>
      <c r="D87" t="str">
        <f t="shared" si="3"/>
        <v>136-niauN55</v>
      </c>
      <c r="E87">
        <v>136</v>
      </c>
      <c r="F87" t="s">
        <v>187</v>
      </c>
      <c r="G87" t="s">
        <v>188</v>
      </c>
    </row>
    <row r="88" spans="1:7" x14ac:dyDescent="0.2">
      <c r="A88">
        <v>87</v>
      </c>
      <c r="B88" t="s">
        <v>189</v>
      </c>
      <c r="C88" t="str">
        <f t="shared" si="2"/>
        <v>00087挠</v>
      </c>
      <c r="D88" t="str">
        <f t="shared" si="3"/>
        <v>137-ngiauN55</v>
      </c>
      <c r="E88">
        <v>137</v>
      </c>
      <c r="F88" t="s">
        <v>189</v>
      </c>
      <c r="G88" t="s">
        <v>190</v>
      </c>
    </row>
    <row r="89" spans="1:7" x14ac:dyDescent="0.2">
      <c r="A89">
        <v>88</v>
      </c>
      <c r="B89" t="s">
        <v>191</v>
      </c>
      <c r="C89" t="str">
        <f t="shared" si="2"/>
        <v>00088集</v>
      </c>
      <c r="D89" t="str">
        <f t="shared" si="3"/>
        <v>034-tsip5</v>
      </c>
      <c r="E89">
        <v>34</v>
      </c>
      <c r="F89" t="s">
        <v>191</v>
      </c>
      <c r="G89" t="s">
        <v>192</v>
      </c>
    </row>
    <row r="90" spans="1:7" x14ac:dyDescent="0.2">
      <c r="A90">
        <v>89</v>
      </c>
      <c r="B90" t="s">
        <v>193</v>
      </c>
      <c r="C90" t="str">
        <f t="shared" si="2"/>
        <v>00089邑</v>
      </c>
      <c r="D90" t="str">
        <f t="shared" si="3"/>
        <v>035-ip32</v>
      </c>
      <c r="E90">
        <v>35</v>
      </c>
      <c r="F90" t="s">
        <v>193</v>
      </c>
      <c r="G90" t="s">
        <v>194</v>
      </c>
    </row>
    <row r="91" spans="1:7" x14ac:dyDescent="0.2">
      <c r="A91">
        <v>90</v>
      </c>
      <c r="B91" t="s">
        <v>195</v>
      </c>
      <c r="C91" t="str">
        <f t="shared" si="2"/>
        <v>00090答</v>
      </c>
      <c r="D91" t="str">
        <f t="shared" si="3"/>
        <v>036-tap32</v>
      </c>
      <c r="E91">
        <v>36</v>
      </c>
      <c r="F91" t="s">
        <v>195</v>
      </c>
      <c r="G91" t="s">
        <v>196</v>
      </c>
    </row>
    <row r="92" spans="1:7" x14ac:dyDescent="0.2">
      <c r="A92">
        <v>91</v>
      </c>
      <c r="B92" t="s">
        <v>197</v>
      </c>
      <c r="C92" t="str">
        <f t="shared" si="2"/>
        <v>00091压</v>
      </c>
      <c r="D92" t="str">
        <f t="shared" si="3"/>
        <v>037-ap32</v>
      </c>
      <c r="E92">
        <v>37</v>
      </c>
      <c r="F92" t="s">
        <v>197</v>
      </c>
      <c r="G92" t="s">
        <v>198</v>
      </c>
    </row>
    <row r="93" spans="1:7" x14ac:dyDescent="0.2">
      <c r="A93">
        <v>92</v>
      </c>
      <c r="B93" t="s">
        <v>199</v>
      </c>
      <c r="C93" t="str">
        <f t="shared" si="2"/>
        <v>00092谍</v>
      </c>
      <c r="D93" t="str">
        <f t="shared" si="3"/>
        <v>038-tiap5</v>
      </c>
      <c r="E93">
        <v>38</v>
      </c>
      <c r="F93" t="s">
        <v>199</v>
      </c>
      <c r="G93" t="s">
        <v>200</v>
      </c>
    </row>
    <row r="94" spans="1:7" x14ac:dyDescent="0.2">
      <c r="A94">
        <v>93</v>
      </c>
      <c r="B94" t="s">
        <v>120</v>
      </c>
      <c r="C94" t="str">
        <f t="shared" si="2"/>
        <v>00093姓</v>
      </c>
      <c r="D94" t="str">
        <f t="shared" si="3"/>
        <v>039-iap5</v>
      </c>
      <c r="E94">
        <v>39</v>
      </c>
      <c r="F94" t="s">
        <v>201</v>
      </c>
      <c r="G94" t="s">
        <v>202</v>
      </c>
    </row>
    <row r="95" spans="1:7" x14ac:dyDescent="0.2">
      <c r="A95">
        <v>94</v>
      </c>
      <c r="B95" t="s">
        <v>203</v>
      </c>
      <c r="C95" t="str">
        <f t="shared" si="2"/>
        <v>00094笔</v>
      </c>
      <c r="D95" t="str">
        <f t="shared" si="3"/>
        <v>040-pit32</v>
      </c>
      <c r="E95">
        <v>40</v>
      </c>
      <c r="F95" t="s">
        <v>203</v>
      </c>
      <c r="G95" t="s">
        <v>204</v>
      </c>
    </row>
    <row r="96" spans="1:7" x14ac:dyDescent="0.2">
      <c r="A96">
        <v>95</v>
      </c>
      <c r="B96" t="s">
        <v>207</v>
      </c>
      <c r="C96" t="str">
        <f t="shared" si="2"/>
        <v>00095第~</v>
      </c>
      <c r="D96" t="str">
        <f t="shared" si="3"/>
        <v>041-it32</v>
      </c>
      <c r="E96">
        <v>41</v>
      </c>
      <c r="F96" t="s">
        <v>205</v>
      </c>
      <c r="G96" t="s">
        <v>206</v>
      </c>
    </row>
    <row r="97" spans="1:7" x14ac:dyDescent="0.2">
      <c r="A97">
        <v>96</v>
      </c>
      <c r="B97" t="s">
        <v>208</v>
      </c>
      <c r="C97" t="str">
        <f t="shared" si="2"/>
        <v>00096不</v>
      </c>
      <c r="D97" t="str">
        <f t="shared" si="3"/>
        <v>042-put32</v>
      </c>
      <c r="E97">
        <v>42</v>
      </c>
      <c r="F97" t="s">
        <v>208</v>
      </c>
      <c r="G97" t="s">
        <v>209</v>
      </c>
    </row>
    <row r="98" spans="1:7" x14ac:dyDescent="0.2">
      <c r="A98">
        <v>97</v>
      </c>
      <c r="B98" t="s">
        <v>210</v>
      </c>
      <c r="C98" t="str">
        <f t="shared" si="2"/>
        <v>00097郁</v>
      </c>
      <c r="D98" t="str">
        <f t="shared" si="3"/>
        <v>043-ut32</v>
      </c>
      <c r="E98">
        <v>43</v>
      </c>
      <c r="F98" t="s">
        <v>210</v>
      </c>
      <c r="G98" t="s">
        <v>211</v>
      </c>
    </row>
    <row r="99" spans="1:7" x14ac:dyDescent="0.2">
      <c r="A99">
        <v>98</v>
      </c>
      <c r="B99" t="s">
        <v>214</v>
      </c>
      <c r="C99" t="str">
        <f t="shared" si="2"/>
        <v>00098三~</v>
      </c>
      <c r="D99" t="str">
        <f t="shared" si="3"/>
        <v>044-pat32</v>
      </c>
      <c r="E99">
        <v>44</v>
      </c>
      <c r="F99" t="s">
        <v>212</v>
      </c>
      <c r="G99" t="s">
        <v>213</v>
      </c>
    </row>
    <row r="100" spans="1:7" x14ac:dyDescent="0.2">
      <c r="A100">
        <v>99</v>
      </c>
      <c r="B100" t="s">
        <v>216</v>
      </c>
      <c r="C100" t="str">
        <f t="shared" si="2"/>
        <v>00099折</v>
      </c>
      <c r="D100" t="str">
        <f t="shared" si="3"/>
        <v>045-at32</v>
      </c>
      <c r="E100">
        <v>45</v>
      </c>
      <c r="F100" t="s">
        <v>215</v>
      </c>
      <c r="G100" t="s">
        <v>217</v>
      </c>
    </row>
    <row r="101" spans="1:7" x14ac:dyDescent="0.2">
      <c r="A101">
        <v>100</v>
      </c>
      <c r="B101" t="s">
        <v>218</v>
      </c>
      <c r="C101" t="str">
        <f t="shared" si="2"/>
        <v>00100分~</v>
      </c>
      <c r="D101" t="str">
        <f t="shared" si="3"/>
        <v>046-piat5</v>
      </c>
      <c r="E101">
        <v>46</v>
      </c>
      <c r="F101" t="s">
        <v>219</v>
      </c>
      <c r="G101" t="s">
        <v>220</v>
      </c>
    </row>
    <row r="102" spans="1:7" x14ac:dyDescent="0.2">
      <c r="A102">
        <v>101</v>
      </c>
      <c r="B102" t="s">
        <v>221</v>
      </c>
      <c r="C102" t="str">
        <f t="shared" si="2"/>
        <v>00101招手</v>
      </c>
      <c r="D102" t="str">
        <f t="shared" si="3"/>
        <v>047-iat5</v>
      </c>
      <c r="E102">
        <v>47</v>
      </c>
      <c r="F102" t="s">
        <v>50</v>
      </c>
      <c r="G102" t="s">
        <v>222</v>
      </c>
    </row>
    <row r="103" spans="1:7" x14ac:dyDescent="0.2">
      <c r="A103">
        <v>102</v>
      </c>
      <c r="B103" t="s">
        <v>223</v>
      </c>
      <c r="C103" t="str">
        <f t="shared" si="2"/>
        <v>00102跋</v>
      </c>
      <c r="D103" t="str">
        <f t="shared" si="3"/>
        <v>048-puat5</v>
      </c>
      <c r="E103">
        <v>48</v>
      </c>
      <c r="F103" t="s">
        <v>223</v>
      </c>
      <c r="G103" t="s">
        <v>224</v>
      </c>
    </row>
    <row r="104" spans="1:7" x14ac:dyDescent="0.2">
      <c r="A104">
        <v>103</v>
      </c>
      <c r="B104" t="s">
        <v>227</v>
      </c>
      <c r="C104" t="str">
        <f t="shared" si="2"/>
        <v>00103~南</v>
      </c>
      <c r="D104" t="str">
        <f t="shared" si="3"/>
        <v>049-uat5</v>
      </c>
      <c r="E104">
        <v>49</v>
      </c>
      <c r="F104" t="s">
        <v>225</v>
      </c>
      <c r="G104" t="s">
        <v>226</v>
      </c>
    </row>
    <row r="105" spans="1:7" x14ac:dyDescent="0.2">
      <c r="A105">
        <v>104</v>
      </c>
      <c r="B105" t="s">
        <v>230</v>
      </c>
      <c r="C105" t="str">
        <f t="shared" si="2"/>
        <v>00104明~</v>
      </c>
      <c r="D105" t="str">
        <f t="shared" si="3"/>
        <v>050-pik5</v>
      </c>
      <c r="E105">
        <v>50</v>
      </c>
      <c r="F105" t="s">
        <v>228</v>
      </c>
      <c r="G105" t="s">
        <v>229</v>
      </c>
    </row>
    <row r="106" spans="1:7" x14ac:dyDescent="0.2">
      <c r="A106">
        <v>105</v>
      </c>
      <c r="B106" t="s">
        <v>231</v>
      </c>
      <c r="C106" t="str">
        <f t="shared" si="2"/>
        <v>00105译</v>
      </c>
      <c r="D106" t="str">
        <f t="shared" si="3"/>
        <v>051-ik5</v>
      </c>
      <c r="E106">
        <v>51</v>
      </c>
      <c r="F106" t="s">
        <v>231</v>
      </c>
      <c r="G106" t="s">
        <v>232</v>
      </c>
    </row>
    <row r="107" spans="1:7" x14ac:dyDescent="0.2">
      <c r="A107">
        <v>106</v>
      </c>
      <c r="B107" t="s">
        <v>235</v>
      </c>
      <c r="C107" t="str">
        <f t="shared" si="2"/>
        <v>00106破~</v>
      </c>
      <c r="D107" t="str">
        <f t="shared" si="3"/>
        <v>052-pak32</v>
      </c>
      <c r="E107">
        <v>52</v>
      </c>
      <c r="F107" t="s">
        <v>233</v>
      </c>
      <c r="G107" t="s">
        <v>234</v>
      </c>
    </row>
    <row r="108" spans="1:7" x14ac:dyDescent="0.2">
      <c r="A108">
        <v>107</v>
      </c>
      <c r="B108" t="s">
        <v>237</v>
      </c>
      <c r="C108" t="str">
        <f t="shared" si="2"/>
        <v>00107浇水</v>
      </c>
      <c r="D108" t="str">
        <f t="shared" si="3"/>
        <v>053-ak32</v>
      </c>
      <c r="E108">
        <v>53</v>
      </c>
      <c r="F108" t="s">
        <v>236</v>
      </c>
      <c r="G108" t="s">
        <v>238</v>
      </c>
    </row>
    <row r="109" spans="1:7" x14ac:dyDescent="0.2">
      <c r="A109">
        <v>108</v>
      </c>
      <c r="B109" t="s">
        <v>239</v>
      </c>
      <c r="C109" t="str">
        <f t="shared" si="2"/>
        <v>00108爆裂开</v>
      </c>
      <c r="D109" t="str">
        <f t="shared" si="3"/>
        <v>054-piak32</v>
      </c>
      <c r="E109">
        <v>54</v>
      </c>
      <c r="F109" t="s">
        <v>50</v>
      </c>
      <c r="G109" t="s">
        <v>240</v>
      </c>
    </row>
    <row r="110" spans="1:7" x14ac:dyDescent="0.2">
      <c r="A110">
        <v>109</v>
      </c>
      <c r="B110" t="s">
        <v>242</v>
      </c>
      <c r="C110" t="str">
        <f t="shared" si="2"/>
        <v>00109~卦</v>
      </c>
      <c r="D110" t="str">
        <f t="shared" si="3"/>
        <v>055-pOk5</v>
      </c>
      <c r="E110">
        <v>55</v>
      </c>
      <c r="F110" t="s">
        <v>241</v>
      </c>
      <c r="G110" t="s">
        <v>499</v>
      </c>
    </row>
    <row r="111" spans="1:7" x14ac:dyDescent="0.2">
      <c r="A111">
        <v>110</v>
      </c>
      <c r="B111" t="s">
        <v>244</v>
      </c>
      <c r="C111" t="str">
        <f t="shared" si="2"/>
        <v>00110凶狠</v>
      </c>
      <c r="D111" t="str">
        <f t="shared" si="3"/>
        <v>056-Ok32</v>
      </c>
      <c r="E111">
        <v>56</v>
      </c>
      <c r="F111" t="s">
        <v>243</v>
      </c>
      <c r="G111" t="s">
        <v>500</v>
      </c>
    </row>
    <row r="112" spans="1:7" x14ac:dyDescent="0.2">
      <c r="A112">
        <v>111</v>
      </c>
      <c r="B112" t="s">
        <v>245</v>
      </c>
      <c r="C112" t="str">
        <f t="shared" si="2"/>
        <v>00111筑</v>
      </c>
      <c r="D112" t="str">
        <f t="shared" si="3"/>
        <v>057-tiOk32</v>
      </c>
      <c r="E112">
        <v>57</v>
      </c>
      <c r="F112" t="s">
        <v>245</v>
      </c>
      <c r="G112" t="s">
        <v>501</v>
      </c>
    </row>
    <row r="113" spans="1:8" x14ac:dyDescent="0.2">
      <c r="A113">
        <v>112</v>
      </c>
      <c r="B113" t="s">
        <v>246</v>
      </c>
      <c r="C113" t="str">
        <f t="shared" si="2"/>
        <v>00112约</v>
      </c>
      <c r="D113" t="str">
        <f t="shared" si="3"/>
        <v>058-iOk32</v>
      </c>
      <c r="E113">
        <v>58</v>
      </c>
      <c r="F113" t="s">
        <v>246</v>
      </c>
      <c r="G113" t="s">
        <v>502</v>
      </c>
    </row>
    <row r="114" spans="1:8" x14ac:dyDescent="0.2">
      <c r="A114">
        <v>113</v>
      </c>
      <c r="B114" t="s">
        <v>508</v>
      </c>
      <c r="C114" t="str">
        <f t="shared" si="2"/>
        <v>00113鳖</v>
      </c>
      <c r="D114" t="str">
        <f t="shared" si="3"/>
        <v>059-piX32</v>
      </c>
      <c r="E114">
        <v>59</v>
      </c>
      <c r="F114" t="s">
        <v>247</v>
      </c>
      <c r="G114" t="s">
        <v>248</v>
      </c>
    </row>
    <row r="115" spans="1:8" x14ac:dyDescent="0.2">
      <c r="A115">
        <v>114</v>
      </c>
      <c r="B115" t="s">
        <v>249</v>
      </c>
      <c r="C115" t="str">
        <f t="shared" si="2"/>
        <v>00114滴</v>
      </c>
      <c r="D115" t="str">
        <f t="shared" si="3"/>
        <v>060-tiX32</v>
      </c>
      <c r="E115">
        <v>60</v>
      </c>
      <c r="F115" t="s">
        <v>249</v>
      </c>
      <c r="G115" t="s">
        <v>250</v>
      </c>
    </row>
    <row r="116" spans="1:8" x14ac:dyDescent="0.2">
      <c r="A116">
        <v>115</v>
      </c>
      <c r="B116" t="s">
        <v>252</v>
      </c>
      <c r="C116" t="str">
        <f t="shared" si="2"/>
        <v>00115冒出来，~芽</v>
      </c>
      <c r="D116" t="str">
        <f t="shared" si="3"/>
        <v>061-puX32</v>
      </c>
      <c r="E116">
        <v>61</v>
      </c>
      <c r="F116" t="s">
        <v>50</v>
      </c>
      <c r="G116" t="s">
        <v>251</v>
      </c>
    </row>
    <row r="117" spans="1:8" x14ac:dyDescent="0.2">
      <c r="A117">
        <v>116</v>
      </c>
      <c r="B117" t="s">
        <v>253</v>
      </c>
      <c r="C117" t="str">
        <f t="shared" si="2"/>
        <v>00116贴近某物以取</v>
      </c>
      <c r="D117" t="str">
        <f t="shared" si="3"/>
        <v>062-uX32</v>
      </c>
      <c r="E117">
        <v>62</v>
      </c>
      <c r="F117" t="s">
        <v>50</v>
      </c>
      <c r="G117" t="s">
        <v>254</v>
      </c>
      <c r="H117" t="s">
        <v>255</v>
      </c>
    </row>
    <row r="118" spans="1:8" x14ac:dyDescent="0.2">
      <c r="A118">
        <v>117</v>
      </c>
      <c r="B118" t="s">
        <v>257</v>
      </c>
      <c r="C118" t="str">
        <f t="shared" si="2"/>
        <v>00117一~</v>
      </c>
      <c r="D118" t="str">
        <f t="shared" si="3"/>
        <v>063-paX32</v>
      </c>
      <c r="E118">
        <v>63</v>
      </c>
      <c r="F118" t="s">
        <v>256</v>
      </c>
      <c r="G118" t="s">
        <v>258</v>
      </c>
    </row>
    <row r="119" spans="1:8" x14ac:dyDescent="0.2">
      <c r="A119">
        <v>118</v>
      </c>
      <c r="B119" t="s">
        <v>259</v>
      </c>
      <c r="C119" t="str">
        <f t="shared" si="2"/>
        <v>00118鸭</v>
      </c>
      <c r="D119" t="str">
        <f t="shared" si="3"/>
        <v>064-aX32</v>
      </c>
      <c r="E119">
        <v>64</v>
      </c>
      <c r="F119" t="s">
        <v>259</v>
      </c>
      <c r="G119" t="s">
        <v>260</v>
      </c>
    </row>
    <row r="120" spans="1:8" x14ac:dyDescent="0.2">
      <c r="A120">
        <v>119</v>
      </c>
      <c r="B120" t="s">
        <v>261</v>
      </c>
      <c r="C120" t="str">
        <f t="shared" si="2"/>
        <v>00119壁</v>
      </c>
      <c r="D120" t="str">
        <f t="shared" si="3"/>
        <v>065-piaX32</v>
      </c>
      <c r="E120">
        <v>65</v>
      </c>
      <c r="F120" t="s">
        <v>261</v>
      </c>
      <c r="G120" t="s">
        <v>262</v>
      </c>
    </row>
    <row r="121" spans="1:8" x14ac:dyDescent="0.2">
      <c r="A121">
        <v>120</v>
      </c>
      <c r="B121" t="s">
        <v>263</v>
      </c>
      <c r="C121" t="str">
        <f t="shared" si="2"/>
        <v>00120益</v>
      </c>
      <c r="D121" t="str">
        <f t="shared" si="3"/>
        <v>066-iaX32</v>
      </c>
      <c r="E121">
        <v>66</v>
      </c>
      <c r="F121" t="s">
        <v>263</v>
      </c>
      <c r="G121" t="s">
        <v>264</v>
      </c>
    </row>
    <row r="122" spans="1:8" x14ac:dyDescent="0.2">
      <c r="A122">
        <v>121</v>
      </c>
      <c r="B122" t="s">
        <v>266</v>
      </c>
      <c r="C122" t="str">
        <f t="shared" si="2"/>
        <v>00121~倒：摔倒</v>
      </c>
      <c r="D122" t="str">
        <f t="shared" si="3"/>
        <v>067-puaX5</v>
      </c>
      <c r="E122">
        <v>67</v>
      </c>
      <c r="F122" t="s">
        <v>50</v>
      </c>
      <c r="G122" t="s">
        <v>265</v>
      </c>
    </row>
    <row r="123" spans="1:8" x14ac:dyDescent="0.2">
      <c r="A123">
        <v>122</v>
      </c>
      <c r="B123" t="s">
        <v>267</v>
      </c>
      <c r="C123" t="str">
        <f t="shared" si="2"/>
        <v>00122活</v>
      </c>
      <c r="D123" t="str">
        <f t="shared" si="3"/>
        <v>068-uaX5</v>
      </c>
      <c r="E123">
        <v>68</v>
      </c>
      <c r="F123" t="s">
        <v>267</v>
      </c>
      <c r="G123" t="s">
        <v>268</v>
      </c>
    </row>
    <row r="124" spans="1:8" x14ac:dyDescent="0.2">
      <c r="A124">
        <v>123</v>
      </c>
      <c r="B124" t="s">
        <v>269</v>
      </c>
      <c r="C124" t="str">
        <f t="shared" si="2"/>
        <v>00123象声词，呕吐</v>
      </c>
      <c r="D124" t="str">
        <f t="shared" si="3"/>
        <v>069-OX5</v>
      </c>
      <c r="E124">
        <v>69</v>
      </c>
      <c r="F124" t="s">
        <v>149</v>
      </c>
      <c r="G124" t="s">
        <v>503</v>
      </c>
    </row>
    <row r="125" spans="1:8" x14ac:dyDescent="0.2">
      <c r="A125">
        <v>124</v>
      </c>
      <c r="B125" t="s">
        <v>270</v>
      </c>
      <c r="C125" t="str">
        <f t="shared" si="2"/>
        <v>00124薄</v>
      </c>
      <c r="D125" t="str">
        <f t="shared" si="3"/>
        <v>070-poX5</v>
      </c>
      <c r="E125">
        <v>70</v>
      </c>
      <c r="F125" t="s">
        <v>270</v>
      </c>
      <c r="G125" t="s">
        <v>271</v>
      </c>
    </row>
    <row r="126" spans="1:8" x14ac:dyDescent="0.2">
      <c r="A126">
        <v>125</v>
      </c>
      <c r="B126" t="s">
        <v>272</v>
      </c>
      <c r="C126" t="str">
        <f t="shared" si="2"/>
        <v>00125学</v>
      </c>
      <c r="D126" t="str">
        <f t="shared" si="3"/>
        <v>071-oX5</v>
      </c>
      <c r="E126">
        <v>71</v>
      </c>
      <c r="F126" t="s">
        <v>272</v>
      </c>
      <c r="G126" t="s">
        <v>273</v>
      </c>
    </row>
    <row r="127" spans="1:8" x14ac:dyDescent="0.2">
      <c r="A127">
        <v>126</v>
      </c>
      <c r="B127" t="s">
        <v>275</v>
      </c>
      <c r="C127" t="str">
        <f t="shared" si="2"/>
        <v>00126对</v>
      </c>
      <c r="D127" t="str">
        <f t="shared" si="3"/>
        <v>072-tioX5</v>
      </c>
      <c r="E127">
        <v>72</v>
      </c>
      <c r="F127" t="s">
        <v>275</v>
      </c>
      <c r="G127" t="s">
        <v>274</v>
      </c>
      <c r="H127" t="s">
        <v>50</v>
      </c>
    </row>
    <row r="128" spans="1:8" x14ac:dyDescent="0.2">
      <c r="A128">
        <v>127</v>
      </c>
      <c r="B128" t="s">
        <v>276</v>
      </c>
      <c r="C128" t="str">
        <f t="shared" si="2"/>
        <v>00127药</v>
      </c>
      <c r="D128" t="str">
        <f t="shared" si="3"/>
        <v>073-ioX5</v>
      </c>
      <c r="E128">
        <v>73</v>
      </c>
      <c r="F128" t="s">
        <v>276</v>
      </c>
      <c r="G128" t="s">
        <v>277</v>
      </c>
    </row>
    <row r="129" spans="1:8" x14ac:dyDescent="0.2">
      <c r="A129">
        <v>128</v>
      </c>
      <c r="B129" t="s">
        <v>278</v>
      </c>
      <c r="C129" t="str">
        <f t="shared" si="2"/>
        <v>00128掰开</v>
      </c>
      <c r="D129" t="str">
        <f t="shared" si="3"/>
        <v>074-peX32</v>
      </c>
      <c r="E129">
        <v>74</v>
      </c>
      <c r="F129" t="s">
        <v>149</v>
      </c>
      <c r="G129" t="s">
        <v>279</v>
      </c>
    </row>
    <row r="130" spans="1:8" x14ac:dyDescent="0.2">
      <c r="A130">
        <v>129</v>
      </c>
      <c r="B130" t="s">
        <v>281</v>
      </c>
      <c r="C130" t="str">
        <f t="shared" si="2"/>
        <v>00129打嗝</v>
      </c>
      <c r="D130" t="str">
        <f t="shared" si="3"/>
        <v>075-eX32</v>
      </c>
      <c r="E130">
        <v>75</v>
      </c>
      <c r="F130" t="s">
        <v>280</v>
      </c>
      <c r="G130" t="s">
        <v>282</v>
      </c>
    </row>
    <row r="131" spans="1:8" x14ac:dyDescent="0.2">
      <c r="A131">
        <v>130</v>
      </c>
      <c r="B131" t="s">
        <v>212</v>
      </c>
      <c r="C131" t="str">
        <f t="shared" ref="C131:C157" si="4">_xlfn.CONCAT(TEXT(A131, "00000"), B131)</f>
        <v>00130八</v>
      </c>
      <c r="D131" t="str">
        <f t="shared" ref="D131:D157" si="5">_xlfn.CONCAT(TEXT(E131, "000"), "-", G131)</f>
        <v>076-pueX32</v>
      </c>
      <c r="E131">
        <v>76</v>
      </c>
      <c r="F131" t="s">
        <v>212</v>
      </c>
      <c r="G131" t="s">
        <v>283</v>
      </c>
    </row>
    <row r="132" spans="1:8" x14ac:dyDescent="0.2">
      <c r="A132">
        <v>131</v>
      </c>
      <c r="B132" t="s">
        <v>285</v>
      </c>
      <c r="C132" t="str">
        <f t="shared" si="4"/>
        <v>00131狭窄</v>
      </c>
      <c r="D132" t="str">
        <f t="shared" si="5"/>
        <v>077-ueX5</v>
      </c>
      <c r="E132">
        <v>77</v>
      </c>
      <c r="F132" t="s">
        <v>284</v>
      </c>
      <c r="G132" t="s">
        <v>286</v>
      </c>
    </row>
    <row r="133" spans="1:8" x14ac:dyDescent="0.2">
      <c r="A133">
        <v>132</v>
      </c>
      <c r="B133" t="s">
        <v>288</v>
      </c>
      <c r="C133" t="str">
        <f t="shared" si="4"/>
        <v>00132抽动，痛的感</v>
      </c>
      <c r="D133" t="str">
        <f t="shared" si="5"/>
        <v>078-tiuX32</v>
      </c>
      <c r="E133">
        <v>78</v>
      </c>
      <c r="F133" t="s">
        <v>50</v>
      </c>
      <c r="G133" t="s">
        <v>287</v>
      </c>
    </row>
    <row r="134" spans="1:8" x14ac:dyDescent="0.2">
      <c r="A134">
        <v>133</v>
      </c>
      <c r="B134" t="s">
        <v>289</v>
      </c>
      <c r="C134" t="str">
        <f t="shared" si="4"/>
        <v>00133皱起来</v>
      </c>
      <c r="D134" t="str">
        <f t="shared" si="5"/>
        <v>079-kiuX32</v>
      </c>
      <c r="E134">
        <v>79</v>
      </c>
      <c r="F134" t="s">
        <v>50</v>
      </c>
      <c r="G134" t="s">
        <v>290</v>
      </c>
    </row>
    <row r="135" spans="1:8" x14ac:dyDescent="0.2">
      <c r="A135">
        <v>134</v>
      </c>
      <c r="B135" t="s">
        <v>291</v>
      </c>
      <c r="C135" t="str">
        <f t="shared" si="4"/>
        <v>00134拔</v>
      </c>
      <c r="D135" t="str">
        <f t="shared" si="5"/>
        <v>080-puiX5</v>
      </c>
      <c r="E135">
        <v>80</v>
      </c>
      <c r="F135" t="s">
        <v>291</v>
      </c>
      <c r="G135" t="s">
        <v>292</v>
      </c>
    </row>
    <row r="136" spans="1:8" x14ac:dyDescent="0.2">
      <c r="A136">
        <v>135</v>
      </c>
      <c r="B136" t="s">
        <v>295</v>
      </c>
      <c r="C136" t="str">
        <f t="shared" si="4"/>
        <v>00135笔~</v>
      </c>
      <c r="D136" t="str">
        <f t="shared" si="5"/>
        <v>081-uiX5</v>
      </c>
      <c r="E136">
        <v>81</v>
      </c>
      <c r="F136" t="s">
        <v>293</v>
      </c>
      <c r="G136" t="s">
        <v>294</v>
      </c>
    </row>
    <row r="137" spans="1:8" x14ac:dyDescent="0.2">
      <c r="A137">
        <v>136</v>
      </c>
      <c r="B137" t="s">
        <v>297</v>
      </c>
      <c r="C137" t="str">
        <f t="shared" si="4"/>
        <v>00136扭伤；歪了</v>
      </c>
      <c r="D137" t="str">
        <f t="shared" si="5"/>
        <v>082-tsuaiX5</v>
      </c>
      <c r="E137">
        <v>82</v>
      </c>
      <c r="F137" t="s">
        <v>50</v>
      </c>
      <c r="G137" t="s">
        <v>296</v>
      </c>
    </row>
    <row r="138" spans="1:8" x14ac:dyDescent="0.2">
      <c r="A138">
        <v>137</v>
      </c>
      <c r="B138" t="s">
        <v>298</v>
      </c>
      <c r="C138" t="str">
        <f t="shared" si="4"/>
        <v>00137洘~~：很稠</v>
      </c>
      <c r="D138" t="str">
        <f t="shared" si="5"/>
        <v>083-tauX5</v>
      </c>
      <c r="E138">
        <v>83</v>
      </c>
      <c r="F138" t="s">
        <v>50</v>
      </c>
      <c r="G138" t="s">
        <v>317</v>
      </c>
    </row>
    <row r="139" spans="1:8" x14ac:dyDescent="0.2">
      <c r="A139">
        <v>138</v>
      </c>
      <c r="B139" t="s">
        <v>299</v>
      </c>
      <c r="C139" t="str">
        <f t="shared" si="4"/>
        <v>00138裹起来：~薄</v>
      </c>
      <c r="D139" t="str">
        <f t="shared" si="5"/>
        <v>084-kauX32</v>
      </c>
      <c r="E139">
        <v>84</v>
      </c>
      <c r="F139" t="s">
        <v>50</v>
      </c>
      <c r="G139" t="s">
        <v>318</v>
      </c>
    </row>
    <row r="140" spans="1:8" x14ac:dyDescent="0.2">
      <c r="A140">
        <v>139</v>
      </c>
      <c r="B140" t="s">
        <v>300</v>
      </c>
      <c r="C140" t="str">
        <f t="shared" si="4"/>
        <v>00139弯曲；人死的</v>
      </c>
      <c r="D140" t="str">
        <f t="shared" si="5"/>
        <v>085-khiauX5</v>
      </c>
      <c r="E140">
        <v>85</v>
      </c>
      <c r="F140" t="s">
        <v>50</v>
      </c>
      <c r="G140" t="s">
        <v>319</v>
      </c>
      <c r="H140" t="s">
        <v>320</v>
      </c>
    </row>
    <row r="141" spans="1:8" x14ac:dyDescent="0.2">
      <c r="A141">
        <v>140</v>
      </c>
      <c r="B141" t="s">
        <v>301</v>
      </c>
      <c r="C141" t="str">
        <f t="shared" si="4"/>
        <v>00140从上往下用力</v>
      </c>
      <c r="D141" t="str">
        <f t="shared" si="5"/>
        <v>138-hmX32</v>
      </c>
      <c r="E141">
        <v>138</v>
      </c>
      <c r="F141" t="s">
        <v>50</v>
      </c>
      <c r="G141" t="s">
        <v>321</v>
      </c>
    </row>
    <row r="142" spans="1:8" x14ac:dyDescent="0.2">
      <c r="A142">
        <v>141</v>
      </c>
      <c r="B142" t="s">
        <v>302</v>
      </c>
      <c r="C142" t="str">
        <f t="shared" si="4"/>
        <v>00141默</v>
      </c>
      <c r="D142" t="str">
        <f t="shared" si="5"/>
        <v>139-hmX5</v>
      </c>
      <c r="E142">
        <v>139</v>
      </c>
      <c r="F142" t="s">
        <v>50</v>
      </c>
      <c r="G142" t="s">
        <v>322</v>
      </c>
    </row>
    <row r="143" spans="1:8" x14ac:dyDescent="0.2">
      <c r="A143">
        <v>142</v>
      </c>
      <c r="B143" t="s">
        <v>303</v>
      </c>
      <c r="C143" t="str">
        <f t="shared" si="4"/>
        <v>00142会~：有能耐</v>
      </c>
      <c r="D143" t="str">
        <f t="shared" si="5"/>
        <v>140-pngX5</v>
      </c>
      <c r="E143">
        <v>140</v>
      </c>
      <c r="F143" t="s">
        <v>50</v>
      </c>
      <c r="G143" t="s">
        <v>323</v>
      </c>
    </row>
    <row r="144" spans="1:8" x14ac:dyDescent="0.2">
      <c r="A144">
        <v>143</v>
      </c>
      <c r="B144" t="s">
        <v>304</v>
      </c>
      <c r="C144" t="str">
        <f t="shared" si="4"/>
        <v>00143紧紧束缚着：</v>
      </c>
      <c r="D144" t="str">
        <f t="shared" si="5"/>
        <v>141-sngX32</v>
      </c>
      <c r="E144">
        <v>141</v>
      </c>
      <c r="F144" t="s">
        <v>50</v>
      </c>
      <c r="G144" t="s">
        <v>324</v>
      </c>
    </row>
    <row r="145" spans="1:8" x14ac:dyDescent="0.2">
      <c r="A145">
        <v>144</v>
      </c>
      <c r="B145" t="s">
        <v>305</v>
      </c>
      <c r="C145" t="str">
        <f t="shared" si="4"/>
        <v>00144物</v>
      </c>
      <c r="D145" t="str">
        <f t="shared" si="5"/>
        <v>142-miNX5</v>
      </c>
      <c r="E145">
        <v>142</v>
      </c>
      <c r="F145" t="s">
        <v>50</v>
      </c>
      <c r="G145" t="s">
        <v>325</v>
      </c>
    </row>
    <row r="146" spans="1:8" x14ac:dyDescent="0.2">
      <c r="A146">
        <v>145</v>
      </c>
      <c r="B146" t="s">
        <v>306</v>
      </c>
      <c r="C146" t="str">
        <f t="shared" si="4"/>
        <v>00145闪</v>
      </c>
      <c r="D146" t="str">
        <f t="shared" si="5"/>
        <v>143-siNX32</v>
      </c>
      <c r="E146">
        <v>143</v>
      </c>
      <c r="F146" t="s">
        <v>50</v>
      </c>
      <c r="G146" t="s">
        <v>326</v>
      </c>
    </row>
    <row r="147" spans="1:8" x14ac:dyDescent="0.2">
      <c r="A147">
        <v>146</v>
      </c>
      <c r="B147" t="s">
        <v>307</v>
      </c>
      <c r="C147" t="str">
        <f t="shared" si="4"/>
        <v>00146凹进去</v>
      </c>
      <c r="D147" t="str">
        <f t="shared" si="5"/>
        <v>144-naNX32</v>
      </c>
      <c r="E147">
        <v>144</v>
      </c>
      <c r="F147" t="s">
        <v>50</v>
      </c>
      <c r="G147" t="s">
        <v>327</v>
      </c>
    </row>
    <row r="148" spans="1:8" x14ac:dyDescent="0.2">
      <c r="A148">
        <v>147</v>
      </c>
      <c r="B148" t="s">
        <v>308</v>
      </c>
      <c r="C148" t="str">
        <f t="shared" si="4"/>
        <v>00147猛扑上去；很</v>
      </c>
      <c r="D148" t="str">
        <f t="shared" si="5"/>
        <v>145-saNX32</v>
      </c>
      <c r="E148">
        <v>145</v>
      </c>
      <c r="F148" t="s">
        <v>50</v>
      </c>
      <c r="G148" t="s">
        <v>328</v>
      </c>
    </row>
    <row r="149" spans="1:8" x14ac:dyDescent="0.2">
      <c r="A149">
        <v>148</v>
      </c>
      <c r="B149" t="s">
        <v>309</v>
      </c>
      <c r="C149" t="str">
        <f t="shared" si="4"/>
        <v>00148拿着衣服</v>
      </c>
      <c r="D149" t="str">
        <f t="shared" si="5"/>
        <v>146-hiaNX32</v>
      </c>
      <c r="E149">
        <v>146</v>
      </c>
      <c r="F149" t="s">
        <v>50</v>
      </c>
      <c r="G149" t="s">
        <v>329</v>
      </c>
    </row>
    <row r="150" spans="1:8" x14ac:dyDescent="0.2">
      <c r="A150">
        <v>149</v>
      </c>
      <c r="B150" t="s">
        <v>310</v>
      </c>
      <c r="C150" t="str">
        <f t="shared" si="4"/>
        <v>00149膜</v>
      </c>
      <c r="D150" t="str">
        <f t="shared" si="5"/>
        <v>147-mONX5</v>
      </c>
      <c r="E150">
        <v>147</v>
      </c>
      <c r="F150" t="s">
        <v>50</v>
      </c>
      <c r="G150" t="s">
        <v>504</v>
      </c>
    </row>
    <row r="151" spans="1:8" x14ac:dyDescent="0.2">
      <c r="A151">
        <v>150</v>
      </c>
      <c r="B151" t="s">
        <v>311</v>
      </c>
      <c r="C151" t="str">
        <f t="shared" si="4"/>
        <v>00150脉</v>
      </c>
      <c r="D151" t="str">
        <f t="shared" si="5"/>
        <v>148-meNX5</v>
      </c>
      <c r="E151">
        <v>148</v>
      </c>
      <c r="F151" t="s">
        <v>50</v>
      </c>
      <c r="G151" t="s">
        <v>330</v>
      </c>
    </row>
    <row r="152" spans="1:8" x14ac:dyDescent="0.2">
      <c r="A152">
        <v>151</v>
      </c>
      <c r="B152" t="s">
        <v>312</v>
      </c>
      <c r="C152" t="str">
        <f t="shared" si="4"/>
        <v>00151夹饭菜</v>
      </c>
      <c r="D152" t="str">
        <f t="shared" si="5"/>
        <v>149-ngeNX32</v>
      </c>
      <c r="E152">
        <v>149</v>
      </c>
      <c r="F152" t="s">
        <v>50</v>
      </c>
      <c r="G152" t="s">
        <v>331</v>
      </c>
    </row>
    <row r="153" spans="1:8" x14ac:dyDescent="0.2">
      <c r="A153">
        <v>152</v>
      </c>
      <c r="B153" t="s">
        <v>313</v>
      </c>
      <c r="C153" t="str">
        <f t="shared" si="4"/>
        <v>00152夹，夹子</v>
      </c>
      <c r="D153" t="str">
        <f t="shared" si="5"/>
        <v>150-ngueNX5</v>
      </c>
      <c r="E153">
        <v>150</v>
      </c>
      <c r="F153" t="s">
        <v>50</v>
      </c>
      <c r="G153" t="s">
        <v>332</v>
      </c>
    </row>
    <row r="154" spans="1:8" x14ac:dyDescent="0.2">
      <c r="A154">
        <v>153</v>
      </c>
      <c r="B154" t="s">
        <v>179</v>
      </c>
      <c r="C154" t="str">
        <f t="shared" si="4"/>
        <v>00153象声词</v>
      </c>
      <c r="D154" t="str">
        <f t="shared" si="5"/>
        <v>151-uaNX5</v>
      </c>
      <c r="E154">
        <v>151</v>
      </c>
      <c r="F154" t="s">
        <v>50</v>
      </c>
      <c r="G154" t="s">
        <v>333</v>
      </c>
    </row>
    <row r="155" spans="1:8" x14ac:dyDescent="0.2">
      <c r="A155">
        <v>154</v>
      </c>
      <c r="B155" t="s">
        <v>314</v>
      </c>
      <c r="C155" t="str">
        <f t="shared" si="4"/>
        <v>00154瘪，老太太嘴</v>
      </c>
      <c r="D155" t="str">
        <f t="shared" si="5"/>
        <v>152-mauNX32</v>
      </c>
      <c r="E155">
        <v>152</v>
      </c>
      <c r="F155" t="s">
        <v>50</v>
      </c>
      <c r="G155" t="s">
        <v>334</v>
      </c>
    </row>
    <row r="156" spans="1:8" x14ac:dyDescent="0.2">
      <c r="A156">
        <v>155</v>
      </c>
      <c r="B156" t="s">
        <v>315</v>
      </c>
      <c r="C156" t="str">
        <f t="shared" si="4"/>
        <v>00155瓜果不熟的口</v>
      </c>
      <c r="D156" t="str">
        <f t="shared" si="5"/>
        <v>153-hauNX5</v>
      </c>
      <c r="E156">
        <v>153</v>
      </c>
      <c r="F156" t="s">
        <v>50</v>
      </c>
      <c r="G156" t="s">
        <v>335</v>
      </c>
      <c r="H156" t="s">
        <v>336</v>
      </c>
    </row>
    <row r="157" spans="1:8" x14ac:dyDescent="0.2">
      <c r="A157">
        <v>156</v>
      </c>
      <c r="B157" t="s">
        <v>316</v>
      </c>
      <c r="C157" t="str">
        <f t="shared" si="4"/>
        <v>00156虫子蠕动的样</v>
      </c>
      <c r="D157" t="str">
        <f t="shared" si="5"/>
        <v>154-ngiauNX5</v>
      </c>
      <c r="E157">
        <v>154</v>
      </c>
      <c r="F157" t="s">
        <v>50</v>
      </c>
      <c r="G157" t="s">
        <v>337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0FD3B4-B4B5-1546-83DC-56A0FB53164D}">
  <dimension ref="A1:M44"/>
  <sheetViews>
    <sheetView zoomScale="150" workbookViewId="0">
      <pane xSplit="1" ySplit="1" topLeftCell="D17" activePane="bottomRight" state="frozen"/>
      <selection pane="topRight" activeCell="B1" sqref="B1"/>
      <selection pane="bottomLeft" activeCell="A2" sqref="A2"/>
      <selection pane="bottomRight" activeCell="D33" sqref="D33"/>
    </sheetView>
  </sheetViews>
  <sheetFormatPr baseColWidth="10" defaultRowHeight="16" x14ac:dyDescent="0.2"/>
  <sheetData>
    <row r="1" spans="1:13" x14ac:dyDescent="0.2">
      <c r="A1" t="s">
        <v>454</v>
      </c>
      <c r="B1" t="s">
        <v>455</v>
      </c>
      <c r="C1" t="s">
        <v>456</v>
      </c>
      <c r="D1" t="s">
        <v>457</v>
      </c>
      <c r="E1" t="s">
        <v>472</v>
      </c>
      <c r="F1" t="s">
        <v>473</v>
      </c>
      <c r="G1" t="s">
        <v>474</v>
      </c>
      <c r="H1" t="s">
        <v>475</v>
      </c>
      <c r="M1" s="1"/>
    </row>
    <row r="2" spans="1:13" x14ac:dyDescent="0.2">
      <c r="A2" t="s">
        <v>338</v>
      </c>
      <c r="B2" t="s">
        <v>459</v>
      </c>
      <c r="C2" t="s">
        <v>464</v>
      </c>
      <c r="D2" t="s">
        <v>467</v>
      </c>
      <c r="E2" t="s">
        <v>383</v>
      </c>
      <c r="F2" t="s">
        <v>369</v>
      </c>
      <c r="G2" t="s">
        <v>412</v>
      </c>
      <c r="H2" t="s">
        <v>476</v>
      </c>
    </row>
    <row r="3" spans="1:13" x14ac:dyDescent="0.2">
      <c r="A3" t="s">
        <v>346</v>
      </c>
      <c r="E3" t="s">
        <v>384</v>
      </c>
      <c r="F3" t="s">
        <v>373</v>
      </c>
      <c r="G3" t="s">
        <v>413</v>
      </c>
      <c r="H3" t="s">
        <v>476</v>
      </c>
    </row>
    <row r="4" spans="1:13" x14ac:dyDescent="0.2">
      <c r="A4" t="s">
        <v>340</v>
      </c>
      <c r="B4" t="s">
        <v>460</v>
      </c>
      <c r="C4" t="s">
        <v>465</v>
      </c>
      <c r="D4" t="s">
        <v>468</v>
      </c>
      <c r="E4" t="s">
        <v>382</v>
      </c>
      <c r="F4" t="s">
        <v>370</v>
      </c>
      <c r="G4" t="s">
        <v>414</v>
      </c>
      <c r="H4" t="s">
        <v>476</v>
      </c>
    </row>
    <row r="5" spans="1:13" x14ac:dyDescent="0.2">
      <c r="A5" t="s">
        <v>343</v>
      </c>
      <c r="D5" t="s">
        <v>469</v>
      </c>
      <c r="E5" t="s">
        <v>386</v>
      </c>
      <c r="F5" s="1" t="s">
        <v>375</v>
      </c>
      <c r="G5" s="1" t="s">
        <v>415</v>
      </c>
      <c r="H5" t="s">
        <v>476</v>
      </c>
    </row>
    <row r="6" spans="1:13" x14ac:dyDescent="0.2">
      <c r="A6" t="s">
        <v>344</v>
      </c>
      <c r="E6" t="s">
        <v>385</v>
      </c>
      <c r="H6" t="s">
        <v>476</v>
      </c>
    </row>
    <row r="7" spans="1:13" x14ac:dyDescent="0.2">
      <c r="A7" t="s">
        <v>339</v>
      </c>
      <c r="B7" t="s">
        <v>461</v>
      </c>
      <c r="E7" t="s">
        <v>387</v>
      </c>
      <c r="H7" t="s">
        <v>476</v>
      </c>
    </row>
    <row r="8" spans="1:13" x14ac:dyDescent="0.2">
      <c r="A8" t="s">
        <v>341</v>
      </c>
      <c r="B8" t="s">
        <v>462</v>
      </c>
      <c r="C8" t="s">
        <v>466</v>
      </c>
      <c r="D8" t="s">
        <v>470</v>
      </c>
      <c r="E8" t="s">
        <v>389</v>
      </c>
      <c r="F8" t="s">
        <v>371</v>
      </c>
      <c r="G8" t="s">
        <v>418</v>
      </c>
      <c r="H8" t="s">
        <v>476</v>
      </c>
    </row>
    <row r="9" spans="1:13" x14ac:dyDescent="0.2">
      <c r="A9" t="s">
        <v>345</v>
      </c>
      <c r="D9" t="s">
        <v>471</v>
      </c>
      <c r="E9" t="s">
        <v>390</v>
      </c>
      <c r="F9" s="2" t="s">
        <v>380</v>
      </c>
      <c r="H9" t="s">
        <v>476</v>
      </c>
    </row>
    <row r="10" spans="1:13" x14ac:dyDescent="0.2">
      <c r="A10" t="s">
        <v>348</v>
      </c>
      <c r="E10" t="s">
        <v>388</v>
      </c>
      <c r="F10" t="s">
        <v>379</v>
      </c>
      <c r="H10" t="s">
        <v>476</v>
      </c>
    </row>
    <row r="11" spans="1:13" x14ac:dyDescent="0.2">
      <c r="A11" t="s">
        <v>342</v>
      </c>
      <c r="B11" t="s">
        <v>463</v>
      </c>
      <c r="D11" s="2" t="s">
        <v>376</v>
      </c>
      <c r="E11" t="s">
        <v>392</v>
      </c>
      <c r="F11" t="s">
        <v>423</v>
      </c>
      <c r="H11" t="s">
        <v>476</v>
      </c>
    </row>
    <row r="12" spans="1:13" x14ac:dyDescent="0.2">
      <c r="A12" t="s">
        <v>347</v>
      </c>
      <c r="E12" t="s">
        <v>393</v>
      </c>
      <c r="F12" s="2" t="s">
        <v>422</v>
      </c>
      <c r="G12" t="s">
        <v>426</v>
      </c>
      <c r="H12" t="s">
        <v>476</v>
      </c>
    </row>
    <row r="13" spans="1:13" x14ac:dyDescent="0.2">
      <c r="A13" t="s">
        <v>349</v>
      </c>
      <c r="E13" t="s">
        <v>391</v>
      </c>
      <c r="F13" t="s">
        <v>420</v>
      </c>
      <c r="G13" s="2" t="s">
        <v>425</v>
      </c>
      <c r="H13" t="s">
        <v>476</v>
      </c>
    </row>
    <row r="14" spans="1:13" x14ac:dyDescent="0.2">
      <c r="A14" t="s">
        <v>350</v>
      </c>
      <c r="E14" t="s">
        <v>394</v>
      </c>
      <c r="F14" t="s">
        <v>377</v>
      </c>
      <c r="G14" s="2" t="s">
        <v>416</v>
      </c>
      <c r="H14" t="s">
        <v>476</v>
      </c>
    </row>
    <row r="15" spans="1:13" x14ac:dyDescent="0.2">
      <c r="A15" t="s">
        <v>352</v>
      </c>
      <c r="E15" t="s">
        <v>395</v>
      </c>
      <c r="F15" t="s">
        <v>378</v>
      </c>
      <c r="G15" t="s">
        <v>417</v>
      </c>
      <c r="H15" t="s">
        <v>476</v>
      </c>
    </row>
    <row r="16" spans="1:13" x14ac:dyDescent="0.2">
      <c r="A16" t="s">
        <v>353</v>
      </c>
      <c r="E16" t="s">
        <v>396</v>
      </c>
      <c r="F16" t="s">
        <v>381</v>
      </c>
      <c r="G16" t="s">
        <v>419</v>
      </c>
      <c r="H16" t="s">
        <v>476</v>
      </c>
    </row>
    <row r="17" spans="1:8" x14ac:dyDescent="0.2">
      <c r="A17" t="s">
        <v>351</v>
      </c>
      <c r="E17" t="s">
        <v>397</v>
      </c>
      <c r="F17" t="s">
        <v>424</v>
      </c>
      <c r="G17" s="2" t="s">
        <v>427</v>
      </c>
      <c r="H17" t="s">
        <v>476</v>
      </c>
    </row>
    <row r="18" spans="1:8" x14ac:dyDescent="0.2">
      <c r="A18" t="s">
        <v>354</v>
      </c>
      <c r="H18" t="s">
        <v>476</v>
      </c>
    </row>
    <row r="19" spans="1:8" x14ac:dyDescent="0.2">
      <c r="A19" t="s">
        <v>363</v>
      </c>
      <c r="H19" t="s">
        <v>476</v>
      </c>
    </row>
    <row r="20" spans="1:8" x14ac:dyDescent="0.2">
      <c r="A20" t="s">
        <v>338</v>
      </c>
      <c r="B20" t="s">
        <v>358</v>
      </c>
      <c r="D20" t="s">
        <v>364</v>
      </c>
      <c r="F20" t="s">
        <v>369</v>
      </c>
      <c r="H20" t="s">
        <v>477</v>
      </c>
    </row>
    <row r="21" spans="1:8" x14ac:dyDescent="0.2">
      <c r="A21" t="s">
        <v>346</v>
      </c>
      <c r="H21" t="s">
        <v>477</v>
      </c>
    </row>
    <row r="22" spans="1:8" x14ac:dyDescent="0.2">
      <c r="A22" t="s">
        <v>479</v>
      </c>
      <c r="D22" t="s">
        <v>485</v>
      </c>
      <c r="F22" s="1" t="s">
        <v>486</v>
      </c>
      <c r="H22" t="s">
        <v>477</v>
      </c>
    </row>
    <row r="23" spans="1:8" x14ac:dyDescent="0.2">
      <c r="A23" t="s">
        <v>480</v>
      </c>
      <c r="H23" t="s">
        <v>477</v>
      </c>
    </row>
    <row r="24" spans="1:8" x14ac:dyDescent="0.2">
      <c r="A24" t="s">
        <v>340</v>
      </c>
      <c r="B24" t="s">
        <v>360</v>
      </c>
      <c r="D24" s="3" t="s">
        <v>365</v>
      </c>
      <c r="F24" t="s">
        <v>370</v>
      </c>
      <c r="H24" t="s">
        <v>477</v>
      </c>
    </row>
    <row r="25" spans="1:8" x14ac:dyDescent="0.2">
      <c r="A25" t="s">
        <v>343</v>
      </c>
      <c r="D25" t="s">
        <v>367</v>
      </c>
      <c r="F25" s="1" t="s">
        <v>375</v>
      </c>
      <c r="H25" t="s">
        <v>477</v>
      </c>
    </row>
    <row r="26" spans="1:8" x14ac:dyDescent="0.2">
      <c r="A26" t="s">
        <v>344</v>
      </c>
      <c r="H26" t="s">
        <v>477</v>
      </c>
    </row>
    <row r="27" spans="1:8" x14ac:dyDescent="0.2">
      <c r="A27" t="s">
        <v>339</v>
      </c>
      <c r="B27" t="s">
        <v>359</v>
      </c>
      <c r="F27" t="s">
        <v>421</v>
      </c>
      <c r="H27" t="s">
        <v>477</v>
      </c>
    </row>
    <row r="28" spans="1:8" x14ac:dyDescent="0.2">
      <c r="A28" t="s">
        <v>478</v>
      </c>
      <c r="H28" t="s">
        <v>477</v>
      </c>
    </row>
    <row r="29" spans="1:8" x14ac:dyDescent="0.2">
      <c r="A29" t="s">
        <v>374</v>
      </c>
      <c r="H29" t="s">
        <v>477</v>
      </c>
    </row>
    <row r="30" spans="1:8" x14ac:dyDescent="0.2">
      <c r="A30" t="s">
        <v>341</v>
      </c>
      <c r="B30" t="s">
        <v>361</v>
      </c>
      <c r="D30" t="s">
        <v>366</v>
      </c>
      <c r="F30" t="s">
        <v>489</v>
      </c>
      <c r="H30" t="s">
        <v>477</v>
      </c>
    </row>
    <row r="31" spans="1:8" x14ac:dyDescent="0.2">
      <c r="A31" t="s">
        <v>481</v>
      </c>
      <c r="D31" t="s">
        <v>368</v>
      </c>
      <c r="H31" t="s">
        <v>477</v>
      </c>
    </row>
    <row r="32" spans="1:8" x14ac:dyDescent="0.2">
      <c r="A32" t="s">
        <v>348</v>
      </c>
      <c r="F32" t="s">
        <v>491</v>
      </c>
      <c r="H32" t="s">
        <v>477</v>
      </c>
    </row>
    <row r="33" spans="1:8" x14ac:dyDescent="0.2">
      <c r="A33" t="s">
        <v>347</v>
      </c>
      <c r="H33" t="s">
        <v>477</v>
      </c>
    </row>
    <row r="34" spans="1:8" x14ac:dyDescent="0.2">
      <c r="A34" t="s">
        <v>482</v>
      </c>
      <c r="H34" t="s">
        <v>477</v>
      </c>
    </row>
    <row r="35" spans="1:8" x14ac:dyDescent="0.2">
      <c r="A35" t="s">
        <v>342</v>
      </c>
      <c r="B35" t="s">
        <v>362</v>
      </c>
      <c r="D35" s="3" t="s">
        <v>376</v>
      </c>
      <c r="F35" s="3" t="s">
        <v>488</v>
      </c>
      <c r="H35" t="s">
        <v>477</v>
      </c>
    </row>
    <row r="36" spans="1:8" x14ac:dyDescent="0.2">
      <c r="A36" t="s">
        <v>349</v>
      </c>
      <c r="F36" t="s">
        <v>487</v>
      </c>
      <c r="H36" t="s">
        <v>477</v>
      </c>
    </row>
    <row r="37" spans="1:8" x14ac:dyDescent="0.2">
      <c r="A37" t="s">
        <v>483</v>
      </c>
      <c r="F37" t="s">
        <v>490</v>
      </c>
      <c r="H37" t="s">
        <v>477</v>
      </c>
    </row>
    <row r="38" spans="1:8" x14ac:dyDescent="0.2">
      <c r="A38" t="s">
        <v>350</v>
      </c>
      <c r="F38" t="s">
        <v>377</v>
      </c>
      <c r="H38" t="s">
        <v>477</v>
      </c>
    </row>
    <row r="39" spans="1:8" x14ac:dyDescent="0.2">
      <c r="A39" t="s">
        <v>352</v>
      </c>
      <c r="H39" t="s">
        <v>477</v>
      </c>
    </row>
    <row r="40" spans="1:8" x14ac:dyDescent="0.2">
      <c r="A40" t="s">
        <v>484</v>
      </c>
      <c r="H40" t="s">
        <v>477</v>
      </c>
    </row>
    <row r="41" spans="1:8" x14ac:dyDescent="0.2">
      <c r="A41" t="s">
        <v>351</v>
      </c>
      <c r="H41" t="s">
        <v>477</v>
      </c>
    </row>
    <row r="42" spans="1:8" x14ac:dyDescent="0.2">
      <c r="A42" t="s">
        <v>353</v>
      </c>
      <c r="G42" t="s">
        <v>492</v>
      </c>
      <c r="H42" t="s">
        <v>477</v>
      </c>
    </row>
    <row r="43" spans="1:8" x14ac:dyDescent="0.2">
      <c r="A43" t="s">
        <v>354</v>
      </c>
      <c r="H43" t="s">
        <v>477</v>
      </c>
    </row>
    <row r="44" spans="1:8" x14ac:dyDescent="0.2">
      <c r="A44" t="s">
        <v>363</v>
      </c>
      <c r="H44" t="s">
        <v>477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2A3E72-D65A-CA42-969C-481BFC3B2AB7}">
  <dimension ref="A1:D89"/>
  <sheetViews>
    <sheetView zoomScale="15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7" sqref="B27"/>
    </sheetView>
  </sheetViews>
  <sheetFormatPr baseColWidth="10" defaultRowHeight="16" x14ac:dyDescent="0.2"/>
  <sheetData>
    <row r="1" spans="1:4" x14ac:dyDescent="0.2">
      <c r="A1" t="s">
        <v>430</v>
      </c>
      <c r="B1" t="s">
        <v>429</v>
      </c>
      <c r="C1" t="s">
        <v>451</v>
      </c>
      <c r="D1" t="s">
        <v>453</v>
      </c>
    </row>
    <row r="2" spans="1:4" x14ac:dyDescent="0.2">
      <c r="A2" t="s">
        <v>338</v>
      </c>
    </row>
    <row r="3" spans="1:4" x14ac:dyDescent="0.2">
      <c r="A3" t="s">
        <v>346</v>
      </c>
    </row>
    <row r="4" spans="1:4" x14ac:dyDescent="0.2">
      <c r="A4" t="s">
        <v>340</v>
      </c>
    </row>
    <row r="5" spans="1:4" x14ac:dyDescent="0.2">
      <c r="A5" t="s">
        <v>343</v>
      </c>
    </row>
    <row r="6" spans="1:4" x14ac:dyDescent="0.2">
      <c r="A6" t="s">
        <v>344</v>
      </c>
    </row>
    <row r="7" spans="1:4" x14ac:dyDescent="0.2">
      <c r="A7" t="s">
        <v>339</v>
      </c>
    </row>
    <row r="8" spans="1:4" x14ac:dyDescent="0.2">
      <c r="A8" t="s">
        <v>348</v>
      </c>
    </row>
    <row r="9" spans="1:4" x14ac:dyDescent="0.2">
      <c r="A9" t="s">
        <v>341</v>
      </c>
    </row>
    <row r="10" spans="1:4" x14ac:dyDescent="0.2">
      <c r="A10" t="s">
        <v>345</v>
      </c>
    </row>
    <row r="11" spans="1:4" x14ac:dyDescent="0.2">
      <c r="A11" t="s">
        <v>349</v>
      </c>
    </row>
    <row r="12" spans="1:4" x14ac:dyDescent="0.2">
      <c r="A12" t="s">
        <v>342</v>
      </c>
    </row>
    <row r="13" spans="1:4" x14ac:dyDescent="0.2">
      <c r="A13" t="s">
        <v>347</v>
      </c>
    </row>
    <row r="14" spans="1:4" x14ac:dyDescent="0.2">
      <c r="A14" t="s">
        <v>350</v>
      </c>
    </row>
    <row r="15" spans="1:4" x14ac:dyDescent="0.2">
      <c r="A15" t="s">
        <v>352</v>
      </c>
    </row>
    <row r="16" spans="1:4" x14ac:dyDescent="0.2">
      <c r="A16" t="s">
        <v>353</v>
      </c>
    </row>
    <row r="17" spans="1:4" x14ac:dyDescent="0.2">
      <c r="A17" t="s">
        <v>351</v>
      </c>
    </row>
    <row r="18" spans="1:4" x14ac:dyDescent="0.2">
      <c r="A18" t="s">
        <v>358</v>
      </c>
    </row>
    <row r="19" spans="1:4" x14ac:dyDescent="0.2">
      <c r="A19" t="s">
        <v>355</v>
      </c>
    </row>
    <row r="20" spans="1:4" x14ac:dyDescent="0.2">
      <c r="A20" t="s">
        <v>361</v>
      </c>
    </row>
    <row r="21" spans="1:4" x14ac:dyDescent="0.2">
      <c r="A21" t="s">
        <v>357</v>
      </c>
      <c r="B21" t="s">
        <v>436</v>
      </c>
    </row>
    <row r="22" spans="1:4" x14ac:dyDescent="0.2">
      <c r="A22" t="s">
        <v>364</v>
      </c>
      <c r="B22" t="s">
        <v>431</v>
      </c>
    </row>
    <row r="23" spans="1:4" x14ac:dyDescent="0.2">
      <c r="A23" t="s">
        <v>366</v>
      </c>
      <c r="B23" t="s">
        <v>432</v>
      </c>
    </row>
    <row r="24" spans="1:4" x14ac:dyDescent="0.2">
      <c r="A24" t="s">
        <v>368</v>
      </c>
    </row>
    <row r="25" spans="1:4" x14ac:dyDescent="0.2">
      <c r="A25" t="s">
        <v>359</v>
      </c>
      <c r="B25" t="s">
        <v>433</v>
      </c>
    </row>
    <row r="26" spans="1:4" x14ac:dyDescent="0.2">
      <c r="A26" t="s">
        <v>362</v>
      </c>
      <c r="B26" t="s">
        <v>434</v>
      </c>
    </row>
    <row r="27" spans="1:4" x14ac:dyDescent="0.2">
      <c r="A27" t="s">
        <v>376</v>
      </c>
      <c r="B27" t="s">
        <v>435</v>
      </c>
      <c r="C27" t="s">
        <v>428</v>
      </c>
      <c r="D27" t="s">
        <v>428</v>
      </c>
    </row>
    <row r="28" spans="1:4" x14ac:dyDescent="0.2">
      <c r="A28" t="s">
        <v>360</v>
      </c>
    </row>
    <row r="29" spans="1:4" x14ac:dyDescent="0.2">
      <c r="A29" t="s">
        <v>356</v>
      </c>
      <c r="B29" t="s">
        <v>437</v>
      </c>
    </row>
    <row r="30" spans="1:4" x14ac:dyDescent="0.2">
      <c r="A30" t="s">
        <v>365</v>
      </c>
      <c r="B30" t="s">
        <v>432</v>
      </c>
    </row>
    <row r="31" spans="1:4" x14ac:dyDescent="0.2">
      <c r="A31" t="s">
        <v>367</v>
      </c>
      <c r="B31" t="s">
        <v>438</v>
      </c>
    </row>
    <row r="32" spans="1:4" x14ac:dyDescent="0.2">
      <c r="A32" t="s">
        <v>354</v>
      </c>
    </row>
    <row r="33" spans="1:4" x14ac:dyDescent="0.2">
      <c r="A33" t="s">
        <v>363</v>
      </c>
    </row>
    <row r="34" spans="1:4" x14ac:dyDescent="0.2">
      <c r="A34" t="s">
        <v>369</v>
      </c>
    </row>
    <row r="35" spans="1:4" x14ac:dyDescent="0.2">
      <c r="A35" t="s">
        <v>373</v>
      </c>
    </row>
    <row r="36" spans="1:4" x14ac:dyDescent="0.2">
      <c r="A36" t="s">
        <v>370</v>
      </c>
    </row>
    <row r="37" spans="1:4" x14ac:dyDescent="0.2">
      <c r="A37" s="1" t="s">
        <v>375</v>
      </c>
    </row>
    <row r="38" spans="1:4" x14ac:dyDescent="0.2">
      <c r="A38" t="s">
        <v>377</v>
      </c>
    </row>
    <row r="39" spans="1:4" x14ac:dyDescent="0.2">
      <c r="A39" t="s">
        <v>378</v>
      </c>
    </row>
    <row r="40" spans="1:4" x14ac:dyDescent="0.2">
      <c r="A40" t="s">
        <v>379</v>
      </c>
    </row>
    <row r="41" spans="1:4" x14ac:dyDescent="0.2">
      <c r="A41" t="s">
        <v>371</v>
      </c>
    </row>
    <row r="42" spans="1:4" x14ac:dyDescent="0.2">
      <c r="A42" t="s">
        <v>380</v>
      </c>
      <c r="B42" t="s">
        <v>428</v>
      </c>
      <c r="C42" t="s">
        <v>428</v>
      </c>
      <c r="D42" t="s">
        <v>428</v>
      </c>
    </row>
    <row r="43" spans="1:4" x14ac:dyDescent="0.2">
      <c r="A43" t="s">
        <v>381</v>
      </c>
    </row>
    <row r="44" spans="1:4" x14ac:dyDescent="0.2">
      <c r="A44" t="s">
        <v>420</v>
      </c>
      <c r="C44" t="s">
        <v>452</v>
      </c>
    </row>
    <row r="45" spans="1:4" x14ac:dyDescent="0.2">
      <c r="A45" t="s">
        <v>422</v>
      </c>
      <c r="B45" t="s">
        <v>428</v>
      </c>
      <c r="C45" t="s">
        <v>428</v>
      </c>
      <c r="D45" t="s">
        <v>428</v>
      </c>
    </row>
    <row r="46" spans="1:4" x14ac:dyDescent="0.2">
      <c r="A46" t="s">
        <v>423</v>
      </c>
      <c r="C46" t="s">
        <v>372</v>
      </c>
    </row>
    <row r="47" spans="1:4" x14ac:dyDescent="0.2">
      <c r="A47" t="s">
        <v>424</v>
      </c>
    </row>
    <row r="48" spans="1:4" x14ac:dyDescent="0.2">
      <c r="A48" t="s">
        <v>400</v>
      </c>
      <c r="B48" t="s">
        <v>439</v>
      </c>
    </row>
    <row r="49" spans="1:3" x14ac:dyDescent="0.2">
      <c r="A49" t="s">
        <v>401</v>
      </c>
    </row>
    <row r="50" spans="1:3" x14ac:dyDescent="0.2">
      <c r="A50" t="s">
        <v>402</v>
      </c>
      <c r="B50" t="s">
        <v>440</v>
      </c>
    </row>
    <row r="51" spans="1:3" x14ac:dyDescent="0.2">
      <c r="A51" t="s">
        <v>441</v>
      </c>
      <c r="B51" t="s">
        <v>442</v>
      </c>
    </row>
    <row r="52" spans="1:3" x14ac:dyDescent="0.2">
      <c r="A52" t="s">
        <v>403</v>
      </c>
      <c r="B52" t="s">
        <v>443</v>
      </c>
    </row>
    <row r="53" spans="1:3" x14ac:dyDescent="0.2">
      <c r="A53" t="s">
        <v>404</v>
      </c>
      <c r="B53" t="s">
        <v>444</v>
      </c>
    </row>
    <row r="54" spans="1:3" x14ac:dyDescent="0.2">
      <c r="A54" t="s">
        <v>405</v>
      </c>
    </row>
    <row r="55" spans="1:3" x14ac:dyDescent="0.2">
      <c r="A55" t="s">
        <v>406</v>
      </c>
      <c r="B55" t="s">
        <v>445</v>
      </c>
    </row>
    <row r="56" spans="1:3" x14ac:dyDescent="0.2">
      <c r="A56" t="s">
        <v>407</v>
      </c>
      <c r="B56" t="s">
        <v>446</v>
      </c>
    </row>
    <row r="57" spans="1:3" x14ac:dyDescent="0.2">
      <c r="A57" t="s">
        <v>408</v>
      </c>
      <c r="B57" t="s">
        <v>447</v>
      </c>
    </row>
    <row r="58" spans="1:3" x14ac:dyDescent="0.2">
      <c r="A58" t="s">
        <v>409</v>
      </c>
      <c r="B58" t="s">
        <v>448</v>
      </c>
    </row>
    <row r="59" spans="1:3" x14ac:dyDescent="0.2">
      <c r="A59" t="s">
        <v>410</v>
      </c>
      <c r="B59" t="s">
        <v>449</v>
      </c>
    </row>
    <row r="60" spans="1:3" x14ac:dyDescent="0.2">
      <c r="A60" t="s">
        <v>411</v>
      </c>
      <c r="B60" t="s">
        <v>450</v>
      </c>
    </row>
    <row r="61" spans="1:3" x14ac:dyDescent="0.2">
      <c r="A61" t="s">
        <v>383</v>
      </c>
    </row>
    <row r="62" spans="1:3" x14ac:dyDescent="0.2">
      <c r="A62" t="s">
        <v>384</v>
      </c>
    </row>
    <row r="63" spans="1:3" x14ac:dyDescent="0.2">
      <c r="A63" t="s">
        <v>382</v>
      </c>
    </row>
    <row r="64" spans="1:3" x14ac:dyDescent="0.2">
      <c r="A64" t="s">
        <v>386</v>
      </c>
      <c r="C64" t="s">
        <v>428</v>
      </c>
    </row>
    <row r="65" spans="1:4" x14ac:dyDescent="0.2">
      <c r="A65" t="s">
        <v>385</v>
      </c>
    </row>
    <row r="66" spans="1:4" x14ac:dyDescent="0.2">
      <c r="A66" t="s">
        <v>387</v>
      </c>
    </row>
    <row r="67" spans="1:4" x14ac:dyDescent="0.2">
      <c r="A67" t="s">
        <v>388</v>
      </c>
      <c r="C67" t="s">
        <v>428</v>
      </c>
    </row>
    <row r="68" spans="1:4" x14ac:dyDescent="0.2">
      <c r="A68" t="s">
        <v>389</v>
      </c>
    </row>
    <row r="69" spans="1:4" x14ac:dyDescent="0.2">
      <c r="A69" t="s">
        <v>390</v>
      </c>
    </row>
    <row r="70" spans="1:4" x14ac:dyDescent="0.2">
      <c r="A70" t="s">
        <v>391</v>
      </c>
    </row>
    <row r="71" spans="1:4" x14ac:dyDescent="0.2">
      <c r="A71" t="s">
        <v>392</v>
      </c>
    </row>
    <row r="72" spans="1:4" x14ac:dyDescent="0.2">
      <c r="A72" t="s">
        <v>393</v>
      </c>
    </row>
    <row r="73" spans="1:4" x14ac:dyDescent="0.2">
      <c r="A73" t="s">
        <v>394</v>
      </c>
      <c r="C73" t="s">
        <v>428</v>
      </c>
      <c r="D73" t="s">
        <v>428</v>
      </c>
    </row>
    <row r="74" spans="1:4" x14ac:dyDescent="0.2">
      <c r="A74" t="s">
        <v>395</v>
      </c>
    </row>
    <row r="75" spans="1:4" x14ac:dyDescent="0.2">
      <c r="A75" t="s">
        <v>396</v>
      </c>
      <c r="C75" t="s">
        <v>428</v>
      </c>
    </row>
    <row r="76" spans="1:4" x14ac:dyDescent="0.2">
      <c r="A76" t="s">
        <v>397</v>
      </c>
      <c r="C76" t="s">
        <v>428</v>
      </c>
    </row>
    <row r="77" spans="1:4" x14ac:dyDescent="0.2">
      <c r="A77" t="s">
        <v>398</v>
      </c>
      <c r="C77" t="s">
        <v>428</v>
      </c>
    </row>
    <row r="78" spans="1:4" x14ac:dyDescent="0.2">
      <c r="A78" t="s">
        <v>399</v>
      </c>
      <c r="C78" t="s">
        <v>428</v>
      </c>
    </row>
    <row r="79" spans="1:4" x14ac:dyDescent="0.2">
      <c r="A79" t="s">
        <v>412</v>
      </c>
    </row>
    <row r="80" spans="1:4" x14ac:dyDescent="0.2">
      <c r="A80" t="s">
        <v>413</v>
      </c>
    </row>
    <row r="81" spans="1:4" x14ac:dyDescent="0.2">
      <c r="A81" t="s">
        <v>414</v>
      </c>
    </row>
    <row r="82" spans="1:4" x14ac:dyDescent="0.2">
      <c r="A82" s="1" t="s">
        <v>415</v>
      </c>
    </row>
    <row r="83" spans="1:4" x14ac:dyDescent="0.2">
      <c r="A83" t="s">
        <v>416</v>
      </c>
      <c r="C83" t="s">
        <v>428</v>
      </c>
      <c r="D83" t="s">
        <v>428</v>
      </c>
    </row>
    <row r="84" spans="1:4" x14ac:dyDescent="0.2">
      <c r="A84" t="s">
        <v>417</v>
      </c>
      <c r="C84" t="s">
        <v>428</v>
      </c>
    </row>
    <row r="85" spans="1:4" x14ac:dyDescent="0.2">
      <c r="A85" t="s">
        <v>418</v>
      </c>
    </row>
    <row r="86" spans="1:4" x14ac:dyDescent="0.2">
      <c r="A86" t="s">
        <v>419</v>
      </c>
      <c r="C86" t="s">
        <v>428</v>
      </c>
    </row>
    <row r="87" spans="1:4" x14ac:dyDescent="0.2">
      <c r="A87" t="s">
        <v>425</v>
      </c>
      <c r="C87" t="s">
        <v>428</v>
      </c>
      <c r="D87" t="s">
        <v>428</v>
      </c>
    </row>
    <row r="88" spans="1:4" x14ac:dyDescent="0.2">
      <c r="A88" t="s">
        <v>426</v>
      </c>
      <c r="C88" t="s">
        <v>428</v>
      </c>
    </row>
    <row r="89" spans="1:4" x14ac:dyDescent="0.2">
      <c r="A89" t="s">
        <v>427</v>
      </c>
      <c r="C89" t="s">
        <v>428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B8A2A9-69D8-D44D-A557-1C27A2F833F9}">
  <dimension ref="A1:E11"/>
  <sheetViews>
    <sheetView zoomScale="106" workbookViewId="0">
      <selection activeCell="E2" sqref="E2:E11"/>
    </sheetView>
  </sheetViews>
  <sheetFormatPr baseColWidth="10" defaultRowHeight="16" x14ac:dyDescent="0.2"/>
  <sheetData>
    <row r="1" spans="1:5" x14ac:dyDescent="0.2">
      <c r="A1" t="s">
        <v>509</v>
      </c>
      <c r="B1" t="s">
        <v>510</v>
      </c>
      <c r="C1" t="s">
        <v>511</v>
      </c>
      <c r="D1" t="s">
        <v>512</v>
      </c>
      <c r="E1" t="s">
        <v>475</v>
      </c>
    </row>
    <row r="2" spans="1:5" x14ac:dyDescent="0.2">
      <c r="A2" t="s">
        <v>513</v>
      </c>
      <c r="B2" t="s">
        <v>514</v>
      </c>
      <c r="C2" t="s">
        <v>515</v>
      </c>
      <c r="E2" t="s">
        <v>476</v>
      </c>
    </row>
    <row r="3" spans="1:5" x14ac:dyDescent="0.2">
      <c r="A3" t="s">
        <v>516</v>
      </c>
      <c r="B3" t="s">
        <v>526</v>
      </c>
      <c r="C3" t="s">
        <v>515</v>
      </c>
      <c r="E3" t="s">
        <v>476</v>
      </c>
    </row>
    <row r="4" spans="1:5" x14ac:dyDescent="0.2">
      <c r="A4" t="s">
        <v>517</v>
      </c>
      <c r="B4" t="s">
        <v>527</v>
      </c>
      <c r="C4" t="s">
        <v>515</v>
      </c>
      <c r="E4" t="s">
        <v>476</v>
      </c>
    </row>
    <row r="5" spans="1:5" x14ac:dyDescent="0.2">
      <c r="A5" t="s">
        <v>518</v>
      </c>
      <c r="B5" t="s">
        <v>528</v>
      </c>
      <c r="C5" t="s">
        <v>515</v>
      </c>
      <c r="E5" t="s">
        <v>476</v>
      </c>
    </row>
    <row r="6" spans="1:5" x14ac:dyDescent="0.2">
      <c r="A6" t="s">
        <v>519</v>
      </c>
      <c r="B6" t="s">
        <v>529</v>
      </c>
      <c r="C6" t="s">
        <v>515</v>
      </c>
      <c r="E6" t="s">
        <v>476</v>
      </c>
    </row>
    <row r="7" spans="1:5" x14ac:dyDescent="0.2">
      <c r="A7" t="s">
        <v>520</v>
      </c>
      <c r="B7" t="s">
        <v>530</v>
      </c>
      <c r="C7" t="s">
        <v>525</v>
      </c>
      <c r="E7" t="s">
        <v>476</v>
      </c>
    </row>
    <row r="8" spans="1:5" x14ac:dyDescent="0.2">
      <c r="A8" t="s">
        <v>521</v>
      </c>
      <c r="B8" t="s">
        <v>531</v>
      </c>
      <c r="C8" t="s">
        <v>525</v>
      </c>
      <c r="E8" t="s">
        <v>476</v>
      </c>
    </row>
    <row r="9" spans="1:5" x14ac:dyDescent="0.2">
      <c r="A9" t="s">
        <v>522</v>
      </c>
      <c r="B9" t="s">
        <v>532</v>
      </c>
      <c r="C9" t="s">
        <v>525</v>
      </c>
      <c r="E9" t="s">
        <v>476</v>
      </c>
    </row>
    <row r="10" spans="1:5" x14ac:dyDescent="0.2">
      <c r="A10" t="s">
        <v>523</v>
      </c>
      <c r="B10" t="s">
        <v>533</v>
      </c>
      <c r="C10" t="s">
        <v>525</v>
      </c>
      <c r="E10" t="s">
        <v>476</v>
      </c>
    </row>
    <row r="11" spans="1:5" x14ac:dyDescent="0.2">
      <c r="A11" t="s">
        <v>524</v>
      </c>
      <c r="B11" t="s">
        <v>534</v>
      </c>
      <c r="C11" t="s">
        <v>525</v>
      </c>
      <c r="E11" t="s">
        <v>476</v>
      </c>
    </row>
  </sheetData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CAADCF-ACB3-1449-BEFA-317445E376F5}">
  <dimension ref="A1:G87"/>
  <sheetViews>
    <sheetView tabSelected="1" topLeftCell="B52" zoomScale="134" workbookViewId="0">
      <selection activeCell="F59" sqref="F59"/>
    </sheetView>
  </sheetViews>
  <sheetFormatPr baseColWidth="10" defaultRowHeight="16" x14ac:dyDescent="0.2"/>
  <sheetData>
    <row r="1" spans="1:7" x14ac:dyDescent="0.2">
      <c r="A1" t="s">
        <v>26</v>
      </c>
      <c r="B1" t="s">
        <v>603</v>
      </c>
      <c r="C1" t="s">
        <v>505</v>
      </c>
      <c r="D1" t="s">
        <v>27</v>
      </c>
      <c r="E1" t="s">
        <v>507</v>
      </c>
      <c r="F1" t="s">
        <v>1</v>
      </c>
      <c r="G1" t="s">
        <v>13</v>
      </c>
    </row>
    <row r="2" spans="1:7" x14ac:dyDescent="0.2">
      <c r="A2" cm="1">
        <f t="array" ref="A2:A85">_xlfn.SEQUENCE(84, 1, 1, 1)</f>
        <v>1</v>
      </c>
      <c r="B2" t="s">
        <v>535</v>
      </c>
      <c r="C2" t="s">
        <v>689</v>
      </c>
      <c r="D2" t="str">
        <f>_xlfn.CONCAT(TEXT(E2, "00"), "-", F2)</f>
        <v>01-pi1</v>
      </c>
      <c r="E2">
        <v>1</v>
      </c>
      <c r="F2" t="s">
        <v>604</v>
      </c>
    </row>
    <row r="3" spans="1:7" x14ac:dyDescent="0.2">
      <c r="A3">
        <v>2</v>
      </c>
      <c r="B3" t="s">
        <v>536</v>
      </c>
      <c r="C3" t="s">
        <v>690</v>
      </c>
      <c r="D3" t="str">
        <f t="shared" ref="D3:D66" si="0">_xlfn.CONCAT(TEXT(E3, "00"), "-", F3)</f>
        <v>02-ti1</v>
      </c>
      <c r="E3">
        <v>2</v>
      </c>
      <c r="F3" t="s">
        <v>605</v>
      </c>
    </row>
    <row r="4" spans="1:7" x14ac:dyDescent="0.2">
      <c r="A4">
        <v>3</v>
      </c>
      <c r="B4" t="s">
        <v>537</v>
      </c>
      <c r="C4" t="s">
        <v>691</v>
      </c>
      <c r="D4" t="str">
        <f t="shared" si="0"/>
        <v>03-hu2</v>
      </c>
      <c r="E4">
        <v>3</v>
      </c>
      <c r="F4" t="s">
        <v>606</v>
      </c>
    </row>
    <row r="5" spans="1:7" x14ac:dyDescent="0.2">
      <c r="A5">
        <v>4</v>
      </c>
      <c r="B5" t="s">
        <v>538</v>
      </c>
      <c r="C5" t="s">
        <v>692</v>
      </c>
      <c r="D5" t="str">
        <f t="shared" si="0"/>
        <v>04-tu2</v>
      </c>
      <c r="E5">
        <v>4</v>
      </c>
      <c r="F5" t="s">
        <v>607</v>
      </c>
    </row>
    <row r="6" spans="1:7" x14ac:dyDescent="0.2">
      <c r="A6">
        <v>5</v>
      </c>
      <c r="B6" t="s">
        <v>539</v>
      </c>
      <c r="C6" t="s">
        <v>693</v>
      </c>
      <c r="D6" t="str">
        <f t="shared" si="0"/>
        <v>05-pe2</v>
      </c>
      <c r="E6">
        <v>5</v>
      </c>
      <c r="F6" t="s">
        <v>608</v>
      </c>
    </row>
    <row r="7" spans="1:7" x14ac:dyDescent="0.2">
      <c r="A7">
        <v>6</v>
      </c>
      <c r="B7" t="s">
        <v>776</v>
      </c>
      <c r="C7" t="s">
        <v>694</v>
      </c>
      <c r="D7" t="str">
        <f t="shared" si="0"/>
        <v>06-te4</v>
      </c>
      <c r="E7">
        <v>6</v>
      </c>
      <c r="F7" t="s">
        <v>609</v>
      </c>
    </row>
    <row r="8" spans="1:7" x14ac:dyDescent="0.2">
      <c r="A8">
        <v>7</v>
      </c>
      <c r="B8" t="s">
        <v>203</v>
      </c>
      <c r="C8" t="s">
        <v>695</v>
      </c>
      <c r="D8" t="str">
        <f t="shared" si="0"/>
        <v>07-pie3</v>
      </c>
      <c r="E8">
        <v>7</v>
      </c>
      <c r="F8" t="s">
        <v>611</v>
      </c>
    </row>
    <row r="9" spans="1:7" x14ac:dyDescent="0.2">
      <c r="A9">
        <v>8</v>
      </c>
      <c r="B9" t="s">
        <v>540</v>
      </c>
      <c r="C9" t="s">
        <v>696</v>
      </c>
      <c r="D9" t="str">
        <f t="shared" si="0"/>
        <v>08-tie3</v>
      </c>
      <c r="E9">
        <v>8</v>
      </c>
      <c r="F9" t="s">
        <v>610</v>
      </c>
    </row>
    <row r="10" spans="1:7" x14ac:dyDescent="0.2">
      <c r="A10">
        <v>9</v>
      </c>
      <c r="B10" t="s">
        <v>46</v>
      </c>
      <c r="C10" t="s">
        <v>697</v>
      </c>
      <c r="D10" t="str">
        <f t="shared" si="0"/>
        <v>09-pue1</v>
      </c>
      <c r="E10">
        <v>9</v>
      </c>
      <c r="F10" t="s">
        <v>612</v>
      </c>
    </row>
    <row r="11" spans="1:7" x14ac:dyDescent="0.2">
      <c r="A11">
        <v>10</v>
      </c>
      <c r="B11" t="s">
        <v>541</v>
      </c>
      <c r="C11" t="s">
        <v>698</v>
      </c>
      <c r="D11" t="str">
        <f t="shared" si="0"/>
        <v>10-tue2</v>
      </c>
      <c r="E11">
        <v>10</v>
      </c>
      <c r="F11" t="s">
        <v>613</v>
      </c>
    </row>
    <row r="12" spans="1:7" x14ac:dyDescent="0.2">
      <c r="A12">
        <v>11</v>
      </c>
      <c r="B12" t="s">
        <v>542</v>
      </c>
      <c r="C12" t="s">
        <v>699</v>
      </c>
      <c r="D12" t="str">
        <f t="shared" si="0"/>
        <v>11-pa5</v>
      </c>
      <c r="E12">
        <v>11</v>
      </c>
      <c r="F12" t="s">
        <v>614</v>
      </c>
    </row>
    <row r="13" spans="1:7" x14ac:dyDescent="0.2">
      <c r="A13">
        <v>12</v>
      </c>
      <c r="B13" t="s">
        <v>543</v>
      </c>
      <c r="C13" t="s">
        <v>700</v>
      </c>
      <c r="D13" t="str">
        <f t="shared" si="0"/>
        <v>12-pha3</v>
      </c>
      <c r="E13">
        <v>12</v>
      </c>
      <c r="F13" t="s">
        <v>615</v>
      </c>
    </row>
    <row r="14" spans="1:7" x14ac:dyDescent="0.2">
      <c r="A14">
        <v>13</v>
      </c>
      <c r="B14" t="s">
        <v>544</v>
      </c>
      <c r="C14" t="s">
        <v>701</v>
      </c>
      <c r="D14" t="str">
        <f t="shared" si="0"/>
        <v>13-tshia2</v>
      </c>
      <c r="E14">
        <v>13</v>
      </c>
      <c r="F14" t="s">
        <v>616</v>
      </c>
    </row>
    <row r="15" spans="1:7" x14ac:dyDescent="0.2">
      <c r="A15">
        <v>14</v>
      </c>
      <c r="B15" t="s">
        <v>545</v>
      </c>
      <c r="C15" t="s">
        <v>702</v>
      </c>
      <c r="D15" t="str">
        <f t="shared" si="0"/>
        <v>14-hia1</v>
      </c>
      <c r="E15">
        <v>14</v>
      </c>
      <c r="F15" t="s">
        <v>617</v>
      </c>
    </row>
    <row r="16" spans="1:7" x14ac:dyDescent="0.2">
      <c r="A16">
        <v>15</v>
      </c>
      <c r="B16" t="s">
        <v>546</v>
      </c>
      <c r="C16" t="s">
        <v>703</v>
      </c>
      <c r="D16" t="str">
        <f t="shared" si="0"/>
        <v>15-tua5</v>
      </c>
      <c r="E16">
        <v>15</v>
      </c>
      <c r="F16" t="s">
        <v>618</v>
      </c>
    </row>
    <row r="17" spans="1:6" x14ac:dyDescent="0.2">
      <c r="A17">
        <v>16</v>
      </c>
      <c r="B17" t="s">
        <v>17</v>
      </c>
      <c r="C17" t="s">
        <v>704</v>
      </c>
      <c r="D17" t="str">
        <f t="shared" si="0"/>
        <v>16-sua1</v>
      </c>
      <c r="E17">
        <v>16</v>
      </c>
      <c r="F17" t="s">
        <v>619</v>
      </c>
    </row>
    <row r="18" spans="1:6" x14ac:dyDescent="0.2">
      <c r="A18">
        <v>17</v>
      </c>
      <c r="B18" t="s">
        <v>547</v>
      </c>
      <c r="C18" t="s">
        <v>705</v>
      </c>
      <c r="D18" t="str">
        <f t="shared" si="0"/>
        <v>17-pO3</v>
      </c>
      <c r="E18">
        <v>17</v>
      </c>
      <c r="F18" t="s">
        <v>620</v>
      </c>
    </row>
    <row r="19" spans="1:6" x14ac:dyDescent="0.2">
      <c r="A19">
        <v>18</v>
      </c>
      <c r="B19" t="s">
        <v>548</v>
      </c>
      <c r="C19" t="s">
        <v>706</v>
      </c>
      <c r="D19" t="str">
        <f t="shared" si="0"/>
        <v>18-tO3</v>
      </c>
      <c r="E19">
        <v>18</v>
      </c>
      <c r="F19" t="s">
        <v>621</v>
      </c>
    </row>
    <row r="20" spans="1:6" x14ac:dyDescent="0.2">
      <c r="A20">
        <v>19</v>
      </c>
      <c r="B20" t="s">
        <v>549</v>
      </c>
      <c r="C20" t="s">
        <v>707</v>
      </c>
      <c r="D20" t="str">
        <f t="shared" si="0"/>
        <v>19-siO2</v>
      </c>
      <c r="E20">
        <v>19</v>
      </c>
      <c r="F20" t="s">
        <v>622</v>
      </c>
    </row>
    <row r="21" spans="1:6" x14ac:dyDescent="0.2">
      <c r="A21">
        <v>20</v>
      </c>
      <c r="B21" t="s">
        <v>550</v>
      </c>
      <c r="C21" t="s">
        <v>708</v>
      </c>
      <c r="D21" t="str">
        <f t="shared" si="0"/>
        <v>20-iO2</v>
      </c>
      <c r="E21">
        <v>20</v>
      </c>
      <c r="F21" t="s">
        <v>623</v>
      </c>
    </row>
    <row r="22" spans="1:6" x14ac:dyDescent="0.2">
      <c r="A22">
        <v>21</v>
      </c>
      <c r="B22" t="s">
        <v>551</v>
      </c>
      <c r="C22" t="s">
        <v>709</v>
      </c>
      <c r="D22" t="str">
        <f t="shared" si="0"/>
        <v>21-po2</v>
      </c>
      <c r="E22">
        <v>21</v>
      </c>
      <c r="F22" t="s">
        <v>624</v>
      </c>
    </row>
    <row r="23" spans="1:6" x14ac:dyDescent="0.2">
      <c r="A23">
        <v>22</v>
      </c>
      <c r="B23" t="s">
        <v>552</v>
      </c>
      <c r="C23" t="s">
        <v>710</v>
      </c>
      <c r="D23" t="str">
        <f t="shared" si="0"/>
        <v>22-to1</v>
      </c>
      <c r="E23">
        <v>22</v>
      </c>
      <c r="F23" t="s">
        <v>625</v>
      </c>
    </row>
    <row r="24" spans="1:6" x14ac:dyDescent="0.2">
      <c r="A24">
        <v>23</v>
      </c>
      <c r="B24" t="s">
        <v>553</v>
      </c>
      <c r="C24" t="s">
        <v>711</v>
      </c>
      <c r="D24" t="str">
        <f t="shared" si="0"/>
        <v>23-tM1</v>
      </c>
      <c r="E24">
        <v>23</v>
      </c>
      <c r="F24" t="s">
        <v>626</v>
      </c>
    </row>
    <row r="25" spans="1:6" x14ac:dyDescent="0.2">
      <c r="A25">
        <v>24</v>
      </c>
      <c r="B25" t="s">
        <v>554</v>
      </c>
      <c r="C25" t="s">
        <v>712</v>
      </c>
      <c r="D25" t="str">
        <f t="shared" si="0"/>
        <v>24-tsM2</v>
      </c>
      <c r="E25">
        <v>24</v>
      </c>
      <c r="F25" t="s">
        <v>627</v>
      </c>
    </row>
    <row r="26" spans="1:6" x14ac:dyDescent="0.2">
      <c r="A26">
        <v>25</v>
      </c>
      <c r="B26" t="s">
        <v>555</v>
      </c>
      <c r="C26" t="s">
        <v>713</v>
      </c>
      <c r="D26" t="str">
        <f t="shared" si="0"/>
        <v>25-tsE5</v>
      </c>
      <c r="E26">
        <v>25</v>
      </c>
      <c r="F26" t="s">
        <v>628</v>
      </c>
    </row>
    <row r="27" spans="1:6" x14ac:dyDescent="0.2">
      <c r="A27">
        <v>26</v>
      </c>
      <c r="B27" t="s">
        <v>556</v>
      </c>
      <c r="C27" t="s">
        <v>714</v>
      </c>
      <c r="D27" t="str">
        <f t="shared" si="0"/>
        <v>26-sE5</v>
      </c>
      <c r="E27">
        <v>26</v>
      </c>
      <c r="F27" t="s">
        <v>629</v>
      </c>
    </row>
    <row r="28" spans="1:6" x14ac:dyDescent="0.2">
      <c r="A28">
        <v>27</v>
      </c>
      <c r="B28" t="s">
        <v>557</v>
      </c>
      <c r="C28" t="s">
        <v>715</v>
      </c>
      <c r="D28" t="str">
        <f t="shared" si="0"/>
        <v>27-kA3</v>
      </c>
      <c r="E28">
        <v>27</v>
      </c>
      <c r="F28" t="s">
        <v>630</v>
      </c>
    </row>
    <row r="29" spans="1:6" x14ac:dyDescent="0.2">
      <c r="A29">
        <v>28</v>
      </c>
      <c r="B29" t="s">
        <v>558</v>
      </c>
      <c r="C29" t="s">
        <v>716</v>
      </c>
      <c r="D29" t="str">
        <f t="shared" si="0"/>
        <v>28-tA2</v>
      </c>
      <c r="E29">
        <v>28</v>
      </c>
      <c r="F29" t="s">
        <v>631</v>
      </c>
    </row>
    <row r="30" spans="1:6" x14ac:dyDescent="0.2">
      <c r="A30">
        <v>29</v>
      </c>
      <c r="B30" t="s">
        <v>559</v>
      </c>
      <c r="C30" t="s">
        <v>717</v>
      </c>
      <c r="D30" t="str">
        <f t="shared" si="0"/>
        <v>29-puA2</v>
      </c>
      <c r="E30">
        <v>29</v>
      </c>
      <c r="F30" t="s">
        <v>632</v>
      </c>
    </row>
    <row r="31" spans="1:6" x14ac:dyDescent="0.2">
      <c r="A31">
        <v>30</v>
      </c>
      <c r="B31" t="s">
        <v>560</v>
      </c>
      <c r="C31" t="s">
        <v>718</v>
      </c>
      <c r="D31" t="str">
        <f t="shared" si="0"/>
        <v>30-tuA2</v>
      </c>
      <c r="E31">
        <v>30</v>
      </c>
      <c r="F31" t="s">
        <v>633</v>
      </c>
    </row>
    <row r="32" spans="1:6" x14ac:dyDescent="0.2">
      <c r="A32">
        <v>31</v>
      </c>
      <c r="B32" t="s">
        <v>561</v>
      </c>
      <c r="C32" t="s">
        <v>719</v>
      </c>
      <c r="D32" t="str">
        <f t="shared" si="0"/>
        <v>31-tiu1</v>
      </c>
      <c r="E32">
        <v>31</v>
      </c>
      <c r="F32" t="s">
        <v>634</v>
      </c>
    </row>
    <row r="33" spans="1:6" x14ac:dyDescent="0.2">
      <c r="A33">
        <v>32</v>
      </c>
      <c r="B33" t="s">
        <v>562</v>
      </c>
      <c r="C33" t="s">
        <v>720</v>
      </c>
      <c r="D33" t="str">
        <f t="shared" si="0"/>
        <v>32-kiu3</v>
      </c>
      <c r="E33">
        <v>32</v>
      </c>
      <c r="F33" t="s">
        <v>635</v>
      </c>
    </row>
    <row r="34" spans="1:6" x14ac:dyDescent="0.2">
      <c r="A34">
        <v>33</v>
      </c>
      <c r="B34" t="s">
        <v>563</v>
      </c>
      <c r="C34" t="s">
        <v>721</v>
      </c>
      <c r="D34" t="str">
        <f t="shared" si="0"/>
        <v>33-pui2</v>
      </c>
      <c r="E34">
        <v>33</v>
      </c>
      <c r="F34" t="s">
        <v>636</v>
      </c>
    </row>
    <row r="35" spans="1:6" x14ac:dyDescent="0.2">
      <c r="A35">
        <v>34</v>
      </c>
      <c r="B35" t="s">
        <v>275</v>
      </c>
      <c r="C35" t="s">
        <v>722</v>
      </c>
      <c r="D35" t="str">
        <f t="shared" si="0"/>
        <v>34-tui5</v>
      </c>
      <c r="E35">
        <v>34</v>
      </c>
      <c r="F35" t="s">
        <v>637</v>
      </c>
    </row>
    <row r="36" spans="1:6" x14ac:dyDescent="0.2">
      <c r="A36">
        <v>35</v>
      </c>
      <c r="B36" t="s">
        <v>564</v>
      </c>
      <c r="C36" t="s">
        <v>723</v>
      </c>
      <c r="D36" t="str">
        <f t="shared" si="0"/>
        <v>35-tEu5</v>
      </c>
      <c r="E36">
        <v>35</v>
      </c>
      <c r="F36" t="s">
        <v>638</v>
      </c>
    </row>
    <row r="37" spans="1:6" x14ac:dyDescent="0.2">
      <c r="A37">
        <v>36</v>
      </c>
      <c r="B37" t="s">
        <v>565</v>
      </c>
      <c r="C37" t="s">
        <v>724</v>
      </c>
      <c r="D37" t="str">
        <f t="shared" si="0"/>
        <v>36-kEu1</v>
      </c>
      <c r="E37">
        <v>36</v>
      </c>
      <c r="F37" t="s">
        <v>639</v>
      </c>
    </row>
    <row r="38" spans="1:6" x14ac:dyDescent="0.2">
      <c r="A38">
        <v>37</v>
      </c>
      <c r="B38" t="s">
        <v>566</v>
      </c>
      <c r="C38" t="s">
        <v>725</v>
      </c>
      <c r="D38" t="str">
        <f t="shared" si="0"/>
        <v>37-pieu3</v>
      </c>
      <c r="E38">
        <v>37</v>
      </c>
      <c r="F38" t="s">
        <v>640</v>
      </c>
    </row>
    <row r="39" spans="1:6" x14ac:dyDescent="0.2">
      <c r="A39">
        <v>38</v>
      </c>
      <c r="B39" t="s">
        <v>567</v>
      </c>
      <c r="C39" t="s">
        <v>726</v>
      </c>
      <c r="D39" t="str">
        <f t="shared" si="0"/>
        <v>38-kieu2</v>
      </c>
      <c r="E39">
        <v>38</v>
      </c>
      <c r="F39" t="s">
        <v>641</v>
      </c>
    </row>
    <row r="40" spans="1:6" x14ac:dyDescent="0.2">
      <c r="A40">
        <v>39</v>
      </c>
      <c r="B40" t="s">
        <v>568</v>
      </c>
      <c r="C40" t="s">
        <v>727</v>
      </c>
      <c r="D40" t="str">
        <f t="shared" si="0"/>
        <v>39-pai2</v>
      </c>
      <c r="E40">
        <v>39</v>
      </c>
      <c r="F40" t="s">
        <v>642</v>
      </c>
    </row>
    <row r="41" spans="1:6" x14ac:dyDescent="0.2">
      <c r="A41">
        <v>40</v>
      </c>
      <c r="B41" t="s">
        <v>569</v>
      </c>
      <c r="C41" t="s">
        <v>728</v>
      </c>
      <c r="D41" t="str">
        <f t="shared" si="0"/>
        <v>40-tai3</v>
      </c>
      <c r="E41">
        <v>40</v>
      </c>
      <c r="F41" t="s">
        <v>643</v>
      </c>
    </row>
    <row r="42" spans="1:6" x14ac:dyDescent="0.2">
      <c r="A42">
        <v>41</v>
      </c>
      <c r="B42" t="s">
        <v>570</v>
      </c>
      <c r="C42" t="s">
        <v>729</v>
      </c>
      <c r="D42" t="str">
        <f t="shared" si="0"/>
        <v>41-kuai4</v>
      </c>
      <c r="E42">
        <v>41</v>
      </c>
      <c r="F42" t="s">
        <v>644</v>
      </c>
    </row>
    <row r="43" spans="1:6" x14ac:dyDescent="0.2">
      <c r="A43">
        <v>42</v>
      </c>
      <c r="B43" t="s">
        <v>66</v>
      </c>
      <c r="C43" t="s">
        <v>730</v>
      </c>
      <c r="D43" t="str">
        <f t="shared" si="0"/>
        <v>42-uai1</v>
      </c>
      <c r="E43">
        <v>42</v>
      </c>
      <c r="F43" t="s">
        <v>645</v>
      </c>
    </row>
    <row r="44" spans="1:6" x14ac:dyDescent="0.2">
      <c r="A44">
        <v>43</v>
      </c>
      <c r="B44" t="s">
        <v>68</v>
      </c>
      <c r="C44" t="s">
        <v>731</v>
      </c>
      <c r="D44" t="str">
        <f t="shared" si="0"/>
        <v>43-pau1</v>
      </c>
      <c r="E44">
        <v>43</v>
      </c>
      <c r="F44" t="s">
        <v>646</v>
      </c>
    </row>
    <row r="45" spans="1:6" x14ac:dyDescent="0.2">
      <c r="A45">
        <v>44</v>
      </c>
      <c r="B45" t="s">
        <v>571</v>
      </c>
      <c r="C45" t="s">
        <v>732</v>
      </c>
      <c r="D45" t="str">
        <f t="shared" si="0"/>
        <v>44-tau5</v>
      </c>
      <c r="E45">
        <v>44</v>
      </c>
      <c r="F45" t="s">
        <v>647</v>
      </c>
    </row>
    <row r="46" spans="1:6" x14ac:dyDescent="0.2">
      <c r="A46">
        <v>45</v>
      </c>
      <c r="B46" t="s">
        <v>72</v>
      </c>
      <c r="C46" t="s">
        <v>733</v>
      </c>
      <c r="D46" t="str">
        <f t="shared" si="0"/>
        <v>45-piau1</v>
      </c>
      <c r="E46">
        <v>45</v>
      </c>
      <c r="F46" t="s">
        <v>648</v>
      </c>
    </row>
    <row r="47" spans="1:6" x14ac:dyDescent="0.2">
      <c r="A47">
        <v>46</v>
      </c>
      <c r="B47" t="s">
        <v>572</v>
      </c>
      <c r="C47" t="s">
        <v>734</v>
      </c>
      <c r="D47" t="str">
        <f t="shared" si="0"/>
        <v>46-tiau1</v>
      </c>
      <c r="E47">
        <v>46</v>
      </c>
      <c r="F47" t="s">
        <v>649</v>
      </c>
    </row>
    <row r="48" spans="1:6" x14ac:dyDescent="0.2">
      <c r="A48">
        <v>47</v>
      </c>
      <c r="B48" t="s">
        <v>106</v>
      </c>
      <c r="C48" t="s">
        <v>735</v>
      </c>
      <c r="D48" t="str">
        <f t="shared" si="0"/>
        <v>47-pan1</v>
      </c>
      <c r="E48">
        <v>47</v>
      </c>
      <c r="F48" t="s">
        <v>650</v>
      </c>
    </row>
    <row r="49" spans="1:6" x14ac:dyDescent="0.2">
      <c r="A49">
        <v>48</v>
      </c>
      <c r="B49" t="s">
        <v>573</v>
      </c>
      <c r="C49" t="s">
        <v>736</v>
      </c>
      <c r="D49" t="str">
        <f t="shared" si="0"/>
        <v>48-tan2</v>
      </c>
      <c r="E49">
        <v>48</v>
      </c>
      <c r="F49" t="s">
        <v>651</v>
      </c>
    </row>
    <row r="50" spans="1:6" x14ac:dyDescent="0.2">
      <c r="A50">
        <v>49</v>
      </c>
      <c r="B50" t="s">
        <v>110</v>
      </c>
      <c r="C50" t="s">
        <v>737</v>
      </c>
      <c r="D50" t="str">
        <f t="shared" si="0"/>
        <v>49-pian1</v>
      </c>
      <c r="E50">
        <v>49</v>
      </c>
      <c r="F50" t="s">
        <v>652</v>
      </c>
    </row>
    <row r="51" spans="1:6" x14ac:dyDescent="0.2">
      <c r="A51">
        <v>50</v>
      </c>
      <c r="B51" t="s">
        <v>574</v>
      </c>
      <c r="C51" t="s">
        <v>738</v>
      </c>
      <c r="D51" t="str">
        <f t="shared" si="0"/>
        <v>50-tian2</v>
      </c>
      <c r="E51">
        <v>50</v>
      </c>
      <c r="F51" t="s">
        <v>653</v>
      </c>
    </row>
    <row r="52" spans="1:6" x14ac:dyDescent="0.2">
      <c r="A52">
        <v>51</v>
      </c>
      <c r="B52" t="s">
        <v>575</v>
      </c>
      <c r="C52" t="s">
        <v>739</v>
      </c>
      <c r="D52" t="str">
        <f t="shared" si="0"/>
        <v>51-kuan1</v>
      </c>
      <c r="E52">
        <v>51</v>
      </c>
      <c r="F52" t="s">
        <v>654</v>
      </c>
    </row>
    <row r="53" spans="1:6" s="2" customFormat="1" x14ac:dyDescent="0.2">
      <c r="A53" s="2">
        <v>52</v>
      </c>
      <c r="B53" s="2" t="s">
        <v>576</v>
      </c>
      <c r="C53" s="2" t="s">
        <v>740</v>
      </c>
      <c r="D53" t="str">
        <f t="shared" si="0"/>
        <v>53-tang5</v>
      </c>
      <c r="E53" s="2">
        <v>53</v>
      </c>
      <c r="F53" s="2" t="s">
        <v>688</v>
      </c>
    </row>
    <row r="54" spans="1:6" x14ac:dyDescent="0.2">
      <c r="A54">
        <v>53</v>
      </c>
      <c r="B54" t="s">
        <v>577</v>
      </c>
      <c r="C54" t="s">
        <v>741</v>
      </c>
      <c r="D54" t="str">
        <f t="shared" si="0"/>
        <v>55-tiang3</v>
      </c>
      <c r="E54">
        <v>55</v>
      </c>
      <c r="F54" t="s">
        <v>656</v>
      </c>
    </row>
    <row r="55" spans="1:6" x14ac:dyDescent="0.2">
      <c r="A55">
        <v>54</v>
      </c>
      <c r="B55" t="s">
        <v>578</v>
      </c>
      <c r="C55" t="s">
        <v>742</v>
      </c>
      <c r="D55" t="str">
        <f t="shared" si="0"/>
        <v>56-tsiang5</v>
      </c>
      <c r="E55">
        <v>56</v>
      </c>
      <c r="F55" t="s">
        <v>657</v>
      </c>
    </row>
    <row r="56" spans="1:6" x14ac:dyDescent="0.2">
      <c r="A56">
        <v>55</v>
      </c>
      <c r="B56" t="s">
        <v>579</v>
      </c>
      <c r="C56" t="s">
        <v>743</v>
      </c>
      <c r="D56" t="str">
        <f t="shared" si="0"/>
        <v>57-sEn1</v>
      </c>
      <c r="E56">
        <v>57</v>
      </c>
      <c r="F56" t="s">
        <v>658</v>
      </c>
    </row>
    <row r="57" spans="1:6" x14ac:dyDescent="0.2">
      <c r="A57">
        <v>56</v>
      </c>
      <c r="B57" t="s">
        <v>580</v>
      </c>
      <c r="C57" t="s">
        <v>744</v>
      </c>
      <c r="D57" t="str">
        <f t="shared" si="0"/>
        <v>58-kEn3</v>
      </c>
      <c r="E57">
        <v>58</v>
      </c>
      <c r="F57" t="s">
        <v>659</v>
      </c>
    </row>
    <row r="58" spans="1:6" x14ac:dyDescent="0.2">
      <c r="A58">
        <v>57</v>
      </c>
      <c r="B58" t="s">
        <v>777</v>
      </c>
      <c r="C58" t="s">
        <v>745</v>
      </c>
      <c r="D58" t="str">
        <f>_xlfn.CONCAT(TEXT(E58, "00"), "-", F58)</f>
        <v>59-kin2</v>
      </c>
      <c r="E58">
        <v>59</v>
      </c>
      <c r="F58" t="s">
        <v>778</v>
      </c>
    </row>
    <row r="59" spans="1:6" x14ac:dyDescent="0.2">
      <c r="A59">
        <v>58</v>
      </c>
      <c r="B59" t="s">
        <v>581</v>
      </c>
      <c r="C59" t="s">
        <v>746</v>
      </c>
      <c r="D59" t="str">
        <f t="shared" si="0"/>
        <v>60-tin1</v>
      </c>
      <c r="E59">
        <v>60</v>
      </c>
      <c r="F59" t="s">
        <v>660</v>
      </c>
    </row>
    <row r="60" spans="1:6" x14ac:dyDescent="0.2">
      <c r="A60">
        <v>59</v>
      </c>
      <c r="B60" t="s">
        <v>100</v>
      </c>
      <c r="C60" t="s">
        <v>747</v>
      </c>
      <c r="D60" t="str">
        <f t="shared" si="0"/>
        <v>61-hun1</v>
      </c>
      <c r="E60">
        <v>61</v>
      </c>
      <c r="F60" t="s">
        <v>661</v>
      </c>
    </row>
    <row r="61" spans="1:6" x14ac:dyDescent="0.2">
      <c r="A61">
        <v>60</v>
      </c>
      <c r="B61" t="s">
        <v>582</v>
      </c>
      <c r="C61" t="s">
        <v>748</v>
      </c>
      <c r="D61" t="str">
        <f t="shared" si="0"/>
        <v>62-tun1</v>
      </c>
      <c r="E61">
        <v>62</v>
      </c>
      <c r="F61" t="s">
        <v>662</v>
      </c>
    </row>
    <row r="62" spans="1:6" x14ac:dyDescent="0.2">
      <c r="A62">
        <v>61</v>
      </c>
      <c r="B62" t="s">
        <v>583</v>
      </c>
      <c r="C62" t="s">
        <v>749</v>
      </c>
      <c r="D62" t="str">
        <f t="shared" si="0"/>
        <v>63-ping1</v>
      </c>
      <c r="E62">
        <v>63</v>
      </c>
      <c r="F62" t="s">
        <v>663</v>
      </c>
    </row>
    <row r="63" spans="1:6" x14ac:dyDescent="0.2">
      <c r="A63">
        <v>62</v>
      </c>
      <c r="B63" t="s">
        <v>584</v>
      </c>
      <c r="C63" t="s">
        <v>750</v>
      </c>
      <c r="D63" t="str">
        <f t="shared" si="0"/>
        <v>64-ting1</v>
      </c>
      <c r="E63">
        <v>64</v>
      </c>
      <c r="F63" t="s">
        <v>664</v>
      </c>
    </row>
    <row r="64" spans="1:6" x14ac:dyDescent="0.2">
      <c r="A64">
        <v>63</v>
      </c>
      <c r="B64" t="s">
        <v>585</v>
      </c>
      <c r="C64" t="s">
        <v>751</v>
      </c>
      <c r="D64" t="str">
        <f t="shared" si="0"/>
        <v>65-pOng1</v>
      </c>
      <c r="E64">
        <v>65</v>
      </c>
      <c r="F64" t="s">
        <v>665</v>
      </c>
    </row>
    <row r="65" spans="1:6" x14ac:dyDescent="0.2">
      <c r="A65">
        <v>64</v>
      </c>
      <c r="B65" t="s">
        <v>586</v>
      </c>
      <c r="C65" t="s">
        <v>752</v>
      </c>
      <c r="D65" t="str">
        <f t="shared" si="0"/>
        <v>66-kOng1</v>
      </c>
      <c r="E65">
        <v>66</v>
      </c>
      <c r="F65" t="s">
        <v>666</v>
      </c>
    </row>
    <row r="66" spans="1:6" x14ac:dyDescent="0.2">
      <c r="A66">
        <v>65</v>
      </c>
      <c r="B66" t="s">
        <v>587</v>
      </c>
      <c r="C66" t="s">
        <v>753</v>
      </c>
      <c r="D66" t="str">
        <f t="shared" si="0"/>
        <v>67-tiOng1</v>
      </c>
      <c r="E66">
        <v>67</v>
      </c>
      <c r="F66" t="s">
        <v>667</v>
      </c>
    </row>
    <row r="67" spans="1:6" x14ac:dyDescent="0.2">
      <c r="A67">
        <v>66</v>
      </c>
      <c r="B67" t="s">
        <v>588</v>
      </c>
      <c r="C67" t="s">
        <v>754</v>
      </c>
      <c r="D67" t="str">
        <f t="shared" ref="D67:D87" si="1">_xlfn.CONCAT(TEXT(E67, "00"), "-", F67)</f>
        <v>68-kiOng1</v>
      </c>
      <c r="E67">
        <v>68</v>
      </c>
      <c r="F67" t="s">
        <v>668</v>
      </c>
    </row>
    <row r="68" spans="1:6" x14ac:dyDescent="0.2">
      <c r="A68">
        <v>67</v>
      </c>
      <c r="B68" t="s">
        <v>589</v>
      </c>
      <c r="C68" t="s">
        <v>755</v>
      </c>
      <c r="D68" t="str">
        <f t="shared" si="1"/>
        <v>69-tiN1</v>
      </c>
      <c r="E68">
        <v>69</v>
      </c>
      <c r="F68" t="s">
        <v>669</v>
      </c>
    </row>
    <row r="69" spans="1:6" x14ac:dyDescent="0.2">
      <c r="A69">
        <v>68</v>
      </c>
      <c r="B69" t="s">
        <v>590</v>
      </c>
      <c r="C69" t="s">
        <v>756</v>
      </c>
      <c r="D69" t="str">
        <f t="shared" si="1"/>
        <v>70-kiN5</v>
      </c>
      <c r="E69">
        <v>70</v>
      </c>
      <c r="F69" t="s">
        <v>670</v>
      </c>
    </row>
    <row r="70" spans="1:6" x14ac:dyDescent="0.2">
      <c r="A70">
        <v>69</v>
      </c>
      <c r="B70" t="s">
        <v>177</v>
      </c>
      <c r="C70" t="s">
        <v>757</v>
      </c>
      <c r="D70" t="str">
        <f t="shared" si="1"/>
        <v>71-kuiN1</v>
      </c>
      <c r="E70">
        <v>71</v>
      </c>
      <c r="F70" t="s">
        <v>671</v>
      </c>
    </row>
    <row r="71" spans="1:6" x14ac:dyDescent="0.2">
      <c r="A71">
        <v>70</v>
      </c>
      <c r="B71" t="s">
        <v>591</v>
      </c>
      <c r="C71" t="s">
        <v>758</v>
      </c>
      <c r="D71" t="str">
        <f t="shared" si="1"/>
        <v>72-kuiN5</v>
      </c>
      <c r="E71">
        <v>72</v>
      </c>
      <c r="F71" t="s">
        <v>672</v>
      </c>
    </row>
    <row r="72" spans="1:6" x14ac:dyDescent="0.2">
      <c r="A72">
        <v>71</v>
      </c>
      <c r="B72" t="s">
        <v>592</v>
      </c>
      <c r="C72" t="s">
        <v>759</v>
      </c>
      <c r="D72" t="str">
        <f t="shared" si="1"/>
        <v>73-piaN3</v>
      </c>
      <c r="E72">
        <v>73</v>
      </c>
      <c r="F72" t="s">
        <v>673</v>
      </c>
    </row>
    <row r="73" spans="1:6" x14ac:dyDescent="0.2">
      <c r="A73">
        <v>72</v>
      </c>
      <c r="B73" t="s">
        <v>593</v>
      </c>
      <c r="C73" t="s">
        <v>760</v>
      </c>
      <c r="D73" t="str">
        <f t="shared" si="1"/>
        <v>74-tiaN1</v>
      </c>
      <c r="E73">
        <v>74</v>
      </c>
      <c r="F73" t="s">
        <v>674</v>
      </c>
    </row>
    <row r="74" spans="1:6" x14ac:dyDescent="0.2">
      <c r="A74">
        <v>73</v>
      </c>
      <c r="B74" t="s">
        <v>155</v>
      </c>
      <c r="C74" t="s">
        <v>761</v>
      </c>
      <c r="D74" t="str">
        <f t="shared" si="1"/>
        <v>75-puaN1</v>
      </c>
      <c r="E74">
        <v>75</v>
      </c>
      <c r="F74" t="s">
        <v>675</v>
      </c>
    </row>
    <row r="75" spans="1:6" x14ac:dyDescent="0.2">
      <c r="A75">
        <v>74</v>
      </c>
      <c r="B75" t="s">
        <v>594</v>
      </c>
      <c r="C75" t="s">
        <v>762</v>
      </c>
      <c r="D75" t="str">
        <f t="shared" si="1"/>
        <v>76-kuaN1</v>
      </c>
      <c r="E75">
        <v>76</v>
      </c>
      <c r="F75" t="s">
        <v>676</v>
      </c>
    </row>
    <row r="76" spans="1:6" x14ac:dyDescent="0.2">
      <c r="A76">
        <v>75</v>
      </c>
      <c r="B76" t="s">
        <v>595</v>
      </c>
      <c r="C76" t="s">
        <v>763</v>
      </c>
      <c r="D76" t="str">
        <f t="shared" si="1"/>
        <v>77-khON3</v>
      </c>
      <c r="E76">
        <v>77</v>
      </c>
      <c r="F76" t="s">
        <v>677</v>
      </c>
    </row>
    <row r="77" spans="1:6" x14ac:dyDescent="0.2">
      <c r="A77">
        <v>76</v>
      </c>
      <c r="B77" t="s">
        <v>596</v>
      </c>
      <c r="C77" t="s">
        <v>764</v>
      </c>
      <c r="D77" t="str">
        <f t="shared" si="1"/>
        <v>78-khON3</v>
      </c>
      <c r="E77">
        <v>78</v>
      </c>
      <c r="F77" t="s">
        <v>677</v>
      </c>
    </row>
    <row r="78" spans="1:6" x14ac:dyDescent="0.2">
      <c r="A78">
        <v>77</v>
      </c>
      <c r="B78" t="s">
        <v>597</v>
      </c>
      <c r="C78" t="s">
        <v>765</v>
      </c>
      <c r="D78" t="str">
        <f t="shared" si="1"/>
        <v>79-tEN3</v>
      </c>
      <c r="E78">
        <v>79</v>
      </c>
      <c r="F78" t="s">
        <v>678</v>
      </c>
    </row>
    <row r="79" spans="1:6" x14ac:dyDescent="0.2">
      <c r="A79">
        <v>78</v>
      </c>
      <c r="B79" t="s">
        <v>598</v>
      </c>
      <c r="C79" t="s">
        <v>766</v>
      </c>
      <c r="D79" t="str">
        <f t="shared" si="1"/>
        <v>80-kEN1</v>
      </c>
      <c r="E79">
        <v>80</v>
      </c>
      <c r="F79" t="s">
        <v>679</v>
      </c>
    </row>
    <row r="80" spans="1:6" x14ac:dyDescent="0.2">
      <c r="A80">
        <v>79</v>
      </c>
      <c r="B80" t="s">
        <v>599</v>
      </c>
      <c r="C80" t="s">
        <v>767</v>
      </c>
      <c r="D80" t="str">
        <f t="shared" si="1"/>
        <v>81-taiN5</v>
      </c>
      <c r="E80">
        <v>81</v>
      </c>
      <c r="F80" t="s">
        <v>680</v>
      </c>
    </row>
    <row r="81" spans="1:6" x14ac:dyDescent="0.2">
      <c r="A81">
        <v>80</v>
      </c>
      <c r="B81" t="s">
        <v>600</v>
      </c>
      <c r="C81" t="s">
        <v>768</v>
      </c>
      <c r="D81" t="str">
        <f t="shared" si="1"/>
        <v>82-aiN2</v>
      </c>
      <c r="E81">
        <v>82</v>
      </c>
      <c r="F81" t="s">
        <v>681</v>
      </c>
    </row>
    <row r="82" spans="1:6" x14ac:dyDescent="0.2">
      <c r="A82">
        <v>81</v>
      </c>
      <c r="B82" t="s">
        <v>162</v>
      </c>
      <c r="C82" t="s">
        <v>769</v>
      </c>
      <c r="D82" t="str">
        <f t="shared" si="1"/>
        <v>83-tiuN1</v>
      </c>
      <c r="E82">
        <v>83</v>
      </c>
      <c r="F82" t="s">
        <v>682</v>
      </c>
    </row>
    <row r="83" spans="1:6" x14ac:dyDescent="0.2">
      <c r="A83">
        <v>82</v>
      </c>
      <c r="B83" t="s">
        <v>601</v>
      </c>
      <c r="C83" t="s">
        <v>770</v>
      </c>
      <c r="D83" t="str">
        <f t="shared" si="1"/>
        <v>84-siuN1</v>
      </c>
      <c r="E83">
        <v>84</v>
      </c>
      <c r="F83" t="s">
        <v>683</v>
      </c>
    </row>
    <row r="84" spans="1:6" x14ac:dyDescent="0.2">
      <c r="A84">
        <v>83</v>
      </c>
      <c r="B84" t="s">
        <v>602</v>
      </c>
      <c r="C84" t="s">
        <v>771</v>
      </c>
      <c r="D84" t="str">
        <f t="shared" si="1"/>
        <v>85-tng1</v>
      </c>
      <c r="E84">
        <v>85</v>
      </c>
      <c r="F84" t="s">
        <v>684</v>
      </c>
    </row>
    <row r="85" spans="1:6" x14ac:dyDescent="0.2">
      <c r="A85">
        <v>84</v>
      </c>
      <c r="B85" t="s">
        <v>775</v>
      </c>
      <c r="C85" t="s">
        <v>772</v>
      </c>
      <c r="D85" t="str">
        <f t="shared" si="1"/>
        <v>86-kng5</v>
      </c>
      <c r="E85">
        <v>86</v>
      </c>
      <c r="F85" t="s">
        <v>685</v>
      </c>
    </row>
    <row r="86" spans="1:6" x14ac:dyDescent="0.2">
      <c r="A86">
        <v>85</v>
      </c>
      <c r="B86" t="s">
        <v>114</v>
      </c>
      <c r="C86" t="s">
        <v>773</v>
      </c>
      <c r="D86" t="str">
        <f t="shared" si="1"/>
        <v>52-tuan1</v>
      </c>
      <c r="E86">
        <v>52</v>
      </c>
      <c r="F86" t="s">
        <v>655</v>
      </c>
    </row>
    <row r="87" spans="1:6" x14ac:dyDescent="0.2">
      <c r="A87">
        <v>86</v>
      </c>
      <c r="B87" t="s">
        <v>686</v>
      </c>
      <c r="C87" t="s">
        <v>774</v>
      </c>
      <c r="D87" t="str">
        <f t="shared" si="1"/>
        <v>54-kang1</v>
      </c>
      <c r="E87">
        <v>54</v>
      </c>
      <c r="F87" t="s">
        <v>687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xiamen-wordlist</vt:lpstr>
      <vt:lpstr>vowel</vt:lpstr>
      <vt:lpstr>Sheet2</vt:lpstr>
      <vt:lpstr>speakers</vt:lpstr>
      <vt:lpstr>cn-wordlist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淳宇 葛</dc:creator>
  <cp:lastModifiedBy>淳宇 葛</cp:lastModifiedBy>
  <dcterms:created xsi:type="dcterms:W3CDTF">2024-11-25T19:57:17Z</dcterms:created>
  <dcterms:modified xsi:type="dcterms:W3CDTF">2025-10-08T22:08:24Z</dcterms:modified>
</cp:coreProperties>
</file>